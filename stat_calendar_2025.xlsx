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Статотчетность\ИНФОРМАЦИОННЫЙ БЛОК\Расписание\"/>
    </mc:Choice>
  </mc:AlternateContent>
  <xr:revisionPtr revIDLastSave="0" documentId="13_ncr:1_{087F0970-A340-42B9-9EB9-902288B9914C}" xr6:coauthVersionLast="47" xr6:coauthVersionMax="47" xr10:uidLastSave="{00000000-0000-0000-0000-000000000000}"/>
  <bookViews>
    <workbookView xWindow="1560" yWindow="1560" windowWidth="22725" windowHeight="13200" tabRatio="750" xr2:uid="{00000000-000D-0000-FFFF-FFFF00000000}"/>
  </bookViews>
  <sheets>
    <sheet name="excel-заявки в 1 экз. + даты" sheetId="1" r:id="rId1"/>
    <sheet name="Лист1" sheetId="3" r:id="rId2"/>
    <sheet name="Трансп. каталог" sheetId="2" state="hidden" r:id="rId3"/>
  </sheets>
  <definedNames>
    <definedName name="_xlnm._FilterDatabase" localSheetId="0" hidden="1">'excel-заявки в 1 экз. + даты'!$A$1:$R$595</definedName>
    <definedName name="_xlnm._FilterDatabase" localSheetId="2" hidden="1">'Трансп. каталог'!$A$2:$I$743</definedName>
    <definedName name="Z_30599C2B_0A16_4143_A3D4_656C89EBAA7B_.wvu.FilterData" localSheetId="0" hidden="1">'excel-заявки в 1 экз. + даты'!$A$1:$R$588</definedName>
    <definedName name="Z_49E8CDBB_A7B0_46B3_A5FC_3C599E83C2A0_.wvu.FilterData" localSheetId="0" hidden="1">'excel-заявки в 1 экз. + даты'!$A$1:$R$591</definedName>
    <definedName name="Z_532A3ABE_C0B8_454E_8312_409D07F8E1BC_.wvu.Cols" localSheetId="0" hidden="1">'excel-заявки в 1 экз. + даты'!$F:$I</definedName>
    <definedName name="Z_532A3ABE_C0B8_454E_8312_409D07F8E1BC_.wvu.FilterData" localSheetId="0" hidden="1">'excel-заявки в 1 экз. + даты'!$A$1:$R$591</definedName>
    <definedName name="Z_532A3ABE_C0B8_454E_8312_409D07F8E1BC_.wvu.FilterData" localSheetId="2" hidden="1">'Трансп. каталог'!$A$2:$I$743</definedName>
    <definedName name="Z_532A3ABE_C0B8_454E_8312_409D07F8E1BC_.wvu.PrintArea" localSheetId="2" hidden="1">'Трансп. каталог'!$A$1:$I$743</definedName>
    <definedName name="Z_532A3ABE_C0B8_454E_8312_409D07F8E1BC_.wvu.PrintTitles" localSheetId="2" hidden="1">'Трансп. каталог'!$1:$2</definedName>
    <definedName name="Z_537B688C_90DA_4128_B781_AD085D046EFC_.wvu.FilterData" localSheetId="0" hidden="1">'excel-заявки в 1 экз. + даты'!$A$1:$R$588</definedName>
    <definedName name="Z_8081268B_7AB6_4A71_87F8_1F962A461EA7_.wvu.FilterData" localSheetId="0" hidden="1">'excel-заявки в 1 экз. + даты'!$A$1:$R$591</definedName>
    <definedName name="Z_9B14CE91_0A35_4BF0_B039_8F7722CA9A5D_.wvu.FilterData" localSheetId="0" hidden="1">'excel-заявки в 1 экз. + даты'!$A$1:$R$591</definedName>
    <definedName name="Z_C4EEBDF2_C7DA_4BF0_80E6_BBD1E9350A19_.wvu.FilterData" localSheetId="0" hidden="1">'excel-заявки в 1 экз. + даты'!$A$1:$R$591</definedName>
    <definedName name="Z_C805C1EB_A6EB_4CC0_BBC3_CBBBADADA5C8_.wvu.Cols" localSheetId="0" hidden="1">'excel-заявки в 1 экз. + даты'!$F:$I</definedName>
    <definedName name="Z_C805C1EB_A6EB_4CC0_BBC3_CBBBADADA5C8_.wvu.FilterData" localSheetId="0" hidden="1">'excel-заявки в 1 экз. + даты'!$A$1:$R$591</definedName>
    <definedName name="Z_C805C1EB_A6EB_4CC0_BBC3_CBBBADADA5C8_.wvu.FilterData" localSheetId="2" hidden="1">'Трансп. каталог'!$A$2:$I$743</definedName>
    <definedName name="Z_C805C1EB_A6EB_4CC0_BBC3_CBBBADADA5C8_.wvu.PrintArea" localSheetId="2" hidden="1">'Трансп. каталог'!$A$1:$I$743</definedName>
    <definedName name="Z_C805C1EB_A6EB_4CC0_BBC3_CBBBADADA5C8_.wvu.PrintTitles" localSheetId="2" hidden="1">'Трансп. каталог'!$1:$2</definedName>
    <definedName name="Z_CCEB5277_1703_460A_885E_B3085AE56487_.wvu.FilterData" localSheetId="0" hidden="1">'excel-заявки в 1 экз. + даты'!$A$1:$R$591</definedName>
    <definedName name="Z_F18C6564_9F45_4CD0_9A1D_FBB403DEA45A_.wvu.Cols" localSheetId="0" hidden="1">'excel-заявки в 1 экз. + даты'!$F:$I</definedName>
    <definedName name="Z_F18C6564_9F45_4CD0_9A1D_FBB403DEA45A_.wvu.FilterData" localSheetId="0" hidden="1">'excel-заявки в 1 экз. + даты'!$A$1:$R$588</definedName>
    <definedName name="Z_F18C6564_9F45_4CD0_9A1D_FBB403DEA45A_.wvu.FilterData" localSheetId="2" hidden="1">'Трансп. каталог'!$A$2:$I$743</definedName>
    <definedName name="Z_F18C6564_9F45_4CD0_9A1D_FBB403DEA45A_.wvu.PrintArea" localSheetId="2" hidden="1">'Трансп. каталог'!$A$1:$I$743</definedName>
    <definedName name="Z_F18C6564_9F45_4CD0_9A1D_FBB403DEA45A_.wvu.PrintTitles" localSheetId="2" hidden="1">'Трансп. каталог'!$1:$2</definedName>
    <definedName name="Z_F41A31B1_83A9_40A9_B9D3_F4A38A92C0E8_.wvu.FilterData" localSheetId="0" hidden="1">'excel-заявки в 1 экз. + даты'!$A$1:$R$591</definedName>
    <definedName name="_xlnm.Print_Titles" localSheetId="2">'Трансп. каталог'!$1:$2</definedName>
    <definedName name="_xlnm.Print_Area" localSheetId="2">'Трансп. каталог'!$A$1:$I$743</definedName>
  </definedNames>
  <calcPr calcId="191029"/>
  <customWorkbookViews>
    <customWorkbookView name="Дементьева Светлана Владимировна - Личное представление" guid="{532A3ABE-C0B8-454E-8312-409D07F8E1BC}" mergeInterval="0" personalView="1" xWindow="271" yWindow="341" windowWidth="1147" windowHeight="652" tabRatio="750" activeSheetId="1"/>
    <customWorkbookView name="Набродова Евгения Владимировна - Личное представление" guid="{F18C6564-9F45-4CD0-9A1D-FBB403DEA45A}" mergeInterval="0" personalView="1" maximized="1" xWindow="-8" yWindow="-8" windowWidth="1936" windowHeight="1056" tabRatio="750" activeSheetId="1"/>
    <customWorkbookView name="Харитонова Алёна Геннадьевна - Личное представление" guid="{C805C1EB-A6EB-4CC0-BBC3-CBBBADADA5C8}" mergeInterval="0" personalView="1" maximized="1" windowWidth="1916" windowHeight="834" tabRatio="750" activeSheetId="1"/>
  </customWorkbookViews>
</workbook>
</file>

<file path=xl/calcChain.xml><?xml version="1.0" encoding="utf-8"?>
<calcChain xmlns="http://schemas.openxmlformats.org/spreadsheetml/2006/main">
  <c r="I297" i="1" l="1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I27" i="1"/>
  <c r="I63" i="1"/>
  <c r="I64" i="1"/>
  <c r="I65" i="1"/>
  <c r="I66" i="1"/>
  <c r="I67" i="1"/>
  <c r="I68" i="1"/>
  <c r="I69" i="1"/>
  <c r="I70" i="1"/>
  <c r="I71" i="1"/>
  <c r="I72" i="1"/>
  <c r="I73" i="1"/>
  <c r="I74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38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1" i="1"/>
  <c r="I170" i="1"/>
  <c r="I172" i="1"/>
  <c r="I173" i="1"/>
  <c r="I174" i="1"/>
  <c r="I175" i="1"/>
  <c r="I176" i="1"/>
  <c r="I177" i="1"/>
  <c r="I178" i="1"/>
  <c r="I179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80" i="1"/>
  <c r="I581" i="1"/>
  <c r="I582" i="1"/>
  <c r="I212" i="1"/>
  <c r="I213" i="1"/>
  <c r="I214" i="1"/>
  <c r="I215" i="1"/>
  <c r="I408" i="1"/>
  <c r="I431" i="1"/>
  <c r="I432" i="1"/>
  <c r="I433" i="1"/>
  <c r="I434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82" i="1"/>
  <c r="I383" i="1"/>
  <c r="I384" i="1"/>
  <c r="I385" i="1"/>
  <c r="I386" i="1"/>
  <c r="I31" i="1"/>
  <c r="I409" i="1"/>
  <c r="I410" i="1"/>
  <c r="I411" i="1"/>
  <c r="I412" i="1"/>
  <c r="I387" i="1"/>
  <c r="I370" i="1"/>
  <c r="I199" i="1"/>
  <c r="I198" i="1"/>
  <c r="I345" i="1"/>
  <c r="I435" i="1"/>
  <c r="I417" i="1"/>
  <c r="I404" i="1"/>
  <c r="I405" i="1"/>
  <c r="I406" i="1"/>
  <c r="I407" i="1"/>
  <c r="I413" i="1"/>
  <c r="I414" i="1"/>
  <c r="I415" i="1"/>
  <c r="I416" i="1"/>
  <c r="I400" i="1"/>
  <c r="I401" i="1"/>
  <c r="I402" i="1"/>
  <c r="I403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9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65" i="1"/>
  <c r="I2" i="1"/>
  <c r="I124" i="1"/>
  <c r="I125" i="1"/>
  <c r="I126" i="1"/>
  <c r="I127" i="1"/>
  <c r="I280" i="1"/>
  <c r="I228" i="1"/>
  <c r="I111" i="1"/>
  <c r="I281" i="1"/>
  <c r="I266" i="1"/>
  <c r="I75" i="1"/>
  <c r="I76" i="1"/>
  <c r="I77" i="1"/>
  <c r="I78" i="1"/>
  <c r="I135" i="1"/>
  <c r="I136" i="1"/>
  <c r="I123" i="1"/>
  <c r="I17" i="1"/>
  <c r="I18" i="1"/>
  <c r="I20" i="1"/>
  <c r="I134" i="1"/>
  <c r="I112" i="1"/>
  <c r="I113" i="1"/>
  <c r="I114" i="1"/>
  <c r="I115" i="1"/>
  <c r="I116" i="1"/>
  <c r="I117" i="1"/>
  <c r="I118" i="1"/>
  <c r="I119" i="1"/>
  <c r="I120" i="1"/>
  <c r="I121" i="1"/>
  <c r="I122" i="1"/>
  <c r="I131" i="1"/>
  <c r="I132" i="1"/>
  <c r="I133" i="1"/>
  <c r="I137" i="1"/>
  <c r="I12" i="1"/>
  <c r="I8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4" i="1"/>
  <c r="I5" i="1"/>
  <c r="I6" i="1"/>
  <c r="I7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35" i="1"/>
  <c r="I36" i="1"/>
  <c r="I37" i="1"/>
  <c r="I38" i="1"/>
  <c r="I39" i="1"/>
  <c r="I40" i="1"/>
  <c r="I41" i="1"/>
  <c r="I42" i="1"/>
  <c r="I43" i="1"/>
  <c r="I44" i="1"/>
  <c r="I45" i="1"/>
  <c r="I46" i="1"/>
  <c r="I13" i="1"/>
  <c r="I3" i="1"/>
  <c r="I102" i="1"/>
  <c r="I103" i="1"/>
  <c r="I104" i="1"/>
  <c r="I105" i="1"/>
  <c r="I16" i="1"/>
  <c r="I47" i="1"/>
  <c r="I48" i="1"/>
  <c r="I49" i="1"/>
  <c r="I50" i="1"/>
  <c r="I51" i="1"/>
  <c r="I52" i="1"/>
  <c r="I53" i="1"/>
  <c r="I54" i="1"/>
  <c r="I55" i="1"/>
  <c r="I56" i="1"/>
  <c r="I57" i="1"/>
  <c r="I58" i="1"/>
  <c r="I14" i="1"/>
  <c r="I15" i="1"/>
  <c r="I22" i="1"/>
  <c r="I23" i="1"/>
  <c r="I24" i="1"/>
  <c r="I25" i="1"/>
  <c r="I325" i="1"/>
  <c r="I59" i="1"/>
  <c r="I60" i="1"/>
  <c r="I61" i="1"/>
  <c r="I62" i="1"/>
  <c r="I197" i="1"/>
  <c r="I196" i="1"/>
  <c r="I34" i="1"/>
  <c r="I33" i="1"/>
  <c r="I106" i="1"/>
  <c r="I107" i="1"/>
  <c r="I108" i="1"/>
  <c r="I109" i="1"/>
  <c r="I180" i="1"/>
  <c r="I32" i="1"/>
  <c r="I26" i="1"/>
  <c r="I29" i="1"/>
  <c r="I21" i="1"/>
  <c r="I110" i="1"/>
  <c r="I30" i="1"/>
  <c r="I28" i="1"/>
  <c r="I279" i="1"/>
  <c r="I181" i="1"/>
  <c r="I195" i="1"/>
  <c r="I11" i="1"/>
  <c r="I10" i="1"/>
  <c r="I329" i="1"/>
  <c r="I330" i="1"/>
  <c r="I331" i="1"/>
  <c r="I332" i="1"/>
  <c r="I143" i="1"/>
  <c r="I327" i="1"/>
  <c r="I142" i="1"/>
  <c r="I139" i="1"/>
  <c r="I282" i="1"/>
  <c r="I311" i="1"/>
  <c r="I289" i="1"/>
  <c r="I290" i="1"/>
  <c r="I291" i="1"/>
  <c r="I292" i="1"/>
  <c r="I140" i="1"/>
  <c r="I283" i="1"/>
  <c r="I284" i="1"/>
  <c r="I285" i="1"/>
  <c r="I286" i="1"/>
  <c r="I287" i="1"/>
  <c r="I326" i="1"/>
  <c r="I296" i="1"/>
  <c r="I298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294" i="1"/>
  <c r="I295" i="1"/>
  <c r="I141" i="1"/>
  <c r="I312" i="1"/>
  <c r="I293" i="1"/>
  <c r="I28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28" i="1"/>
  <c r="I128" i="1"/>
  <c r="I129" i="1"/>
  <c r="I130" i="1"/>
  <c r="I584" i="1"/>
  <c r="I585" i="1"/>
  <c r="I586" i="1"/>
  <c r="I587" i="1"/>
  <c r="I588" i="1"/>
  <c r="I589" i="1"/>
  <c r="I590" i="1"/>
  <c r="I591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G297" i="1" l="1"/>
  <c r="F297" i="1"/>
  <c r="R297" i="1"/>
  <c r="F126" i="1"/>
  <c r="G591" i="1"/>
  <c r="G318" i="1"/>
  <c r="G30" i="1"/>
  <c r="F388" i="1"/>
  <c r="F427" i="1"/>
  <c r="R203" i="1"/>
  <c r="G130" i="1"/>
  <c r="G330" i="1"/>
  <c r="G56" i="1"/>
  <c r="G35" i="1"/>
  <c r="F423" i="1"/>
  <c r="F60" i="1"/>
  <c r="R236" i="1"/>
  <c r="F227" i="1"/>
  <c r="F261" i="1"/>
  <c r="F439" i="1"/>
  <c r="G426" i="1"/>
  <c r="F418" i="1"/>
  <c r="F404" i="1"/>
  <c r="F412" i="1"/>
  <c r="F188" i="1"/>
  <c r="F351" i="1"/>
  <c r="G205" i="1"/>
  <c r="F287" i="1"/>
  <c r="R23" i="1"/>
  <c r="F16" i="1"/>
  <c r="G41" i="1"/>
  <c r="F277" i="1"/>
  <c r="F231" i="1"/>
  <c r="F243" i="1"/>
  <c r="F115" i="1"/>
  <c r="F222" i="1"/>
  <c r="F256" i="1"/>
  <c r="F450" i="1"/>
  <c r="F416" i="1"/>
  <c r="F293" i="1"/>
  <c r="G391" i="1"/>
  <c r="F248" i="1"/>
  <c r="F443" i="1"/>
  <c r="F422" i="1"/>
  <c r="R413" i="1"/>
  <c r="F198" i="1"/>
  <c r="F31" i="1"/>
  <c r="G354" i="1"/>
  <c r="F588" i="1"/>
  <c r="G307" i="1"/>
  <c r="F319" i="1"/>
  <c r="F11" i="1"/>
  <c r="G109" i="1"/>
  <c r="F57" i="1"/>
  <c r="G49" i="1"/>
  <c r="G272" i="1"/>
  <c r="G230" i="1"/>
  <c r="G118" i="1"/>
  <c r="G20" i="1"/>
  <c r="G221" i="1"/>
  <c r="G402" i="1"/>
  <c r="F385" i="1"/>
  <c r="F434" i="1"/>
  <c r="F408" i="1"/>
  <c r="R567" i="1"/>
  <c r="F559" i="1"/>
  <c r="F547" i="1"/>
  <c r="F543" i="1"/>
  <c r="F531" i="1"/>
  <c r="F515" i="1"/>
  <c r="F511" i="1"/>
  <c r="F503" i="1"/>
  <c r="F495" i="1"/>
  <c r="F487" i="1"/>
  <c r="F483" i="1"/>
  <c r="F479" i="1"/>
  <c r="G471" i="1"/>
  <c r="F467" i="1"/>
  <c r="F569" i="1"/>
  <c r="F451" i="1"/>
  <c r="F362" i="1"/>
  <c r="F341" i="1"/>
  <c r="F337" i="1"/>
  <c r="F333" i="1"/>
  <c r="F168" i="1"/>
  <c r="F156" i="1"/>
  <c r="F152" i="1"/>
  <c r="F148" i="1"/>
  <c r="F99" i="1"/>
  <c r="F91" i="1"/>
  <c r="F83" i="1"/>
  <c r="F79" i="1"/>
  <c r="F71" i="1"/>
  <c r="F414" i="1"/>
  <c r="F405" i="1"/>
  <c r="F384" i="1"/>
  <c r="F189" i="1"/>
  <c r="F433" i="1"/>
  <c r="F582" i="1"/>
  <c r="F558" i="1"/>
  <c r="F542" i="1"/>
  <c r="F530" i="1"/>
  <c r="F522" i="1"/>
  <c r="G514" i="1"/>
  <c r="F506" i="1"/>
  <c r="G502" i="1"/>
  <c r="F478" i="1"/>
  <c r="F572" i="1"/>
  <c r="G369" i="1"/>
  <c r="F179" i="1"/>
  <c r="R167" i="1"/>
  <c r="F159" i="1"/>
  <c r="G151" i="1"/>
  <c r="F138" i="1"/>
  <c r="F70" i="1"/>
  <c r="G432" i="1"/>
  <c r="F214" i="1"/>
  <c r="F581" i="1"/>
  <c r="F565" i="1"/>
  <c r="G561" i="1"/>
  <c r="G557" i="1"/>
  <c r="F549" i="1"/>
  <c r="G545" i="1"/>
  <c r="F541" i="1"/>
  <c r="F537" i="1"/>
  <c r="F533" i="1"/>
  <c r="F521" i="1"/>
  <c r="G513" i="1"/>
  <c r="F509" i="1"/>
  <c r="F505" i="1"/>
  <c r="F501" i="1"/>
  <c r="F493" i="1"/>
  <c r="F485" i="1"/>
  <c r="F477" i="1"/>
  <c r="F469" i="1"/>
  <c r="F571" i="1"/>
  <c r="F368" i="1"/>
  <c r="G360" i="1"/>
  <c r="F339" i="1"/>
  <c r="G335" i="1"/>
  <c r="F178" i="1"/>
  <c r="F171" i="1"/>
  <c r="F158" i="1"/>
  <c r="F101" i="1"/>
  <c r="F97" i="1"/>
  <c r="F89" i="1"/>
  <c r="F81" i="1"/>
  <c r="G73" i="1"/>
  <c r="F69" i="1"/>
  <c r="F65" i="1"/>
  <c r="F167" i="1"/>
  <c r="G23" i="1"/>
  <c r="F519" i="1"/>
  <c r="F186" i="1"/>
  <c r="F567" i="1"/>
  <c r="F551" i="1"/>
  <c r="F466" i="1"/>
  <c r="F146" i="1"/>
  <c r="F90" i="1"/>
  <c r="F361" i="1"/>
  <c r="F174" i="1"/>
  <c r="F494" i="1"/>
  <c r="F473" i="1"/>
  <c r="G567" i="1"/>
  <c r="G356" i="1"/>
  <c r="G352" i="1"/>
  <c r="F352" i="1"/>
  <c r="G348" i="1"/>
  <c r="F348" i="1"/>
  <c r="R210" i="1"/>
  <c r="G210" i="1"/>
  <c r="F210" i="1"/>
  <c r="G206" i="1"/>
  <c r="R206" i="1"/>
  <c r="R202" i="1"/>
  <c r="G202" i="1"/>
  <c r="F202" i="1"/>
  <c r="G590" i="1"/>
  <c r="F590" i="1"/>
  <c r="R586" i="1"/>
  <c r="G586" i="1"/>
  <c r="F586" i="1"/>
  <c r="G129" i="1"/>
  <c r="R129" i="1"/>
  <c r="R309" i="1"/>
  <c r="G309" i="1"/>
  <c r="F309" i="1"/>
  <c r="G305" i="1"/>
  <c r="R305" i="1"/>
  <c r="F305" i="1"/>
  <c r="R301" i="1"/>
  <c r="G301" i="1"/>
  <c r="F301" i="1"/>
  <c r="G293" i="1"/>
  <c r="R294" i="1"/>
  <c r="G294" i="1"/>
  <c r="F294" i="1"/>
  <c r="G321" i="1"/>
  <c r="F321" i="1"/>
  <c r="G317" i="1"/>
  <c r="F317" i="1"/>
  <c r="G313" i="1"/>
  <c r="R326" i="1"/>
  <c r="G326" i="1"/>
  <c r="F326" i="1"/>
  <c r="G284" i="1"/>
  <c r="F284" i="1"/>
  <c r="R284" i="1"/>
  <c r="G291" i="1"/>
  <c r="F291" i="1"/>
  <c r="G282" i="1"/>
  <c r="R282" i="1"/>
  <c r="G143" i="1"/>
  <c r="F143" i="1"/>
  <c r="G329" i="1"/>
  <c r="F329" i="1"/>
  <c r="G181" i="1"/>
  <c r="F181" i="1"/>
  <c r="G110" i="1"/>
  <c r="R110" i="1"/>
  <c r="R32" i="1"/>
  <c r="G32" i="1"/>
  <c r="F32" i="1"/>
  <c r="G107" i="1"/>
  <c r="F107" i="1"/>
  <c r="R107" i="1"/>
  <c r="R196" i="1"/>
  <c r="G196" i="1"/>
  <c r="F196" i="1"/>
  <c r="G60" i="1"/>
  <c r="R60" i="1"/>
  <c r="R24" i="1"/>
  <c r="G24" i="1"/>
  <c r="F24" i="1"/>
  <c r="G14" i="1"/>
  <c r="F14" i="1"/>
  <c r="R55" i="1"/>
  <c r="G55" i="1"/>
  <c r="F55" i="1"/>
  <c r="G51" i="1"/>
  <c r="R51" i="1"/>
  <c r="R47" i="1"/>
  <c r="G47" i="1"/>
  <c r="F47" i="1"/>
  <c r="G103" i="1"/>
  <c r="R103" i="1"/>
  <c r="F103" i="1"/>
  <c r="G46" i="1"/>
  <c r="F46" i="1"/>
  <c r="G42" i="1"/>
  <c r="G38" i="1"/>
  <c r="F38" i="1"/>
  <c r="R275" i="1"/>
  <c r="G275" i="1"/>
  <c r="F275" i="1"/>
  <c r="G271" i="1"/>
  <c r="R271" i="1"/>
  <c r="R267" i="1"/>
  <c r="G267" i="1"/>
  <c r="F267" i="1"/>
  <c r="G396" i="1"/>
  <c r="F396" i="1"/>
  <c r="G392" i="1"/>
  <c r="F392" i="1"/>
  <c r="G388" i="1"/>
  <c r="R237" i="1"/>
  <c r="G237" i="1"/>
  <c r="F237" i="1"/>
  <c r="G233" i="1"/>
  <c r="R233" i="1"/>
  <c r="F233" i="1"/>
  <c r="R229" i="1"/>
  <c r="G229" i="1"/>
  <c r="F229" i="1"/>
  <c r="G4" i="1"/>
  <c r="R249" i="1"/>
  <c r="G249" i="1"/>
  <c r="F249" i="1"/>
  <c r="G245" i="1"/>
  <c r="R245" i="1"/>
  <c r="F245" i="1"/>
  <c r="R241" i="1"/>
  <c r="G241" i="1"/>
  <c r="F241" i="1"/>
  <c r="G133" i="1"/>
  <c r="R121" i="1"/>
  <c r="G121" i="1"/>
  <c r="F121" i="1"/>
  <c r="G117" i="1"/>
  <c r="R117" i="1"/>
  <c r="F117" i="1"/>
  <c r="R113" i="1"/>
  <c r="G113" i="1"/>
  <c r="F113" i="1"/>
  <c r="R18" i="1"/>
  <c r="G18" i="1"/>
  <c r="G136" i="1"/>
  <c r="F136" i="1"/>
  <c r="G76" i="1"/>
  <c r="R76" i="1"/>
  <c r="F76" i="1"/>
  <c r="R111" i="1"/>
  <c r="G111" i="1"/>
  <c r="F111" i="1"/>
  <c r="R126" i="1"/>
  <c r="G126" i="1"/>
  <c r="R265" i="1"/>
  <c r="G265" i="1"/>
  <c r="F265" i="1"/>
  <c r="G224" i="1"/>
  <c r="R224" i="1"/>
  <c r="F224" i="1"/>
  <c r="R220" i="1"/>
  <c r="G220" i="1"/>
  <c r="F220" i="1"/>
  <c r="R216" i="1"/>
  <c r="G216" i="1"/>
  <c r="G262" i="1"/>
  <c r="F262" i="1"/>
  <c r="G258" i="1"/>
  <c r="F258" i="1"/>
  <c r="G254" i="1"/>
  <c r="F254" i="1"/>
  <c r="R380" i="1"/>
  <c r="G380" i="1"/>
  <c r="R376" i="1"/>
  <c r="G376" i="1"/>
  <c r="F376" i="1"/>
  <c r="G372" i="1"/>
  <c r="R372" i="1"/>
  <c r="F372" i="1"/>
  <c r="G448" i="1"/>
  <c r="F448" i="1"/>
  <c r="R444" i="1"/>
  <c r="G444" i="1"/>
  <c r="R440" i="1"/>
  <c r="G440" i="1"/>
  <c r="F440" i="1"/>
  <c r="R436" i="1"/>
  <c r="G436" i="1"/>
  <c r="F436" i="1"/>
  <c r="F346" i="1"/>
  <c r="F129" i="1"/>
  <c r="F324" i="1"/>
  <c r="F140" i="1"/>
  <c r="F110" i="1"/>
  <c r="F23" i="1"/>
  <c r="F3" i="1"/>
  <c r="F271" i="1"/>
  <c r="F236" i="1"/>
  <c r="F18" i="1"/>
  <c r="F444" i="1"/>
  <c r="G346" i="1"/>
  <c r="G236" i="1"/>
  <c r="G351" i="1"/>
  <c r="R209" i="1"/>
  <c r="G209" i="1"/>
  <c r="F209" i="1"/>
  <c r="R589" i="1"/>
  <c r="G589" i="1"/>
  <c r="F589" i="1"/>
  <c r="R128" i="1"/>
  <c r="G128" i="1"/>
  <c r="F128" i="1"/>
  <c r="R308" i="1"/>
  <c r="G308" i="1"/>
  <c r="R304" i="1"/>
  <c r="G304" i="1"/>
  <c r="F304" i="1"/>
  <c r="R300" i="1"/>
  <c r="F300" i="1"/>
  <c r="R312" i="1"/>
  <c r="G312" i="1"/>
  <c r="F312" i="1"/>
  <c r="G320" i="1"/>
  <c r="F320" i="1"/>
  <c r="R298" i="1"/>
  <c r="G298" i="1"/>
  <c r="F298" i="1"/>
  <c r="G283" i="1"/>
  <c r="F283" i="1"/>
  <c r="F139" i="1"/>
  <c r="R279" i="1"/>
  <c r="G279" i="1"/>
  <c r="F279" i="1"/>
  <c r="G180" i="1"/>
  <c r="R54" i="1"/>
  <c r="F54" i="1"/>
  <c r="G54" i="1"/>
  <c r="G16" i="1"/>
  <c r="R102" i="1"/>
  <c r="G102" i="1"/>
  <c r="F102" i="1"/>
  <c r="G45" i="1"/>
  <c r="F45" i="1"/>
  <c r="G37" i="1"/>
  <c r="R278" i="1"/>
  <c r="G278" i="1"/>
  <c r="F278" i="1"/>
  <c r="R274" i="1"/>
  <c r="G274" i="1"/>
  <c r="F274" i="1"/>
  <c r="R270" i="1"/>
  <c r="G270" i="1"/>
  <c r="F270" i="1"/>
  <c r="G399" i="1"/>
  <c r="G395" i="1"/>
  <c r="F395" i="1"/>
  <c r="F391" i="1"/>
  <c r="R240" i="1"/>
  <c r="G240" i="1"/>
  <c r="F240" i="1"/>
  <c r="R232" i="1"/>
  <c r="G232" i="1"/>
  <c r="F232" i="1"/>
  <c r="F7" i="1"/>
  <c r="G7" i="1"/>
  <c r="R252" i="1"/>
  <c r="G252" i="1"/>
  <c r="F252" i="1"/>
  <c r="R248" i="1"/>
  <c r="G248" i="1"/>
  <c r="R244" i="1"/>
  <c r="G244" i="1"/>
  <c r="F244" i="1"/>
  <c r="R8" i="1"/>
  <c r="G8" i="1"/>
  <c r="F8" i="1"/>
  <c r="F132" i="1"/>
  <c r="G132" i="1"/>
  <c r="R120" i="1"/>
  <c r="G120" i="1"/>
  <c r="R116" i="1"/>
  <c r="G116" i="1"/>
  <c r="F116" i="1"/>
  <c r="R112" i="1"/>
  <c r="G112" i="1"/>
  <c r="F112" i="1"/>
  <c r="R17" i="1"/>
  <c r="G17" i="1"/>
  <c r="F17" i="1"/>
  <c r="G135" i="1"/>
  <c r="R75" i="1"/>
  <c r="G75" i="1"/>
  <c r="F75" i="1"/>
  <c r="F228" i="1"/>
  <c r="G228" i="1"/>
  <c r="R125" i="1"/>
  <c r="G125" i="1"/>
  <c r="F125" i="1"/>
  <c r="R227" i="1"/>
  <c r="G227" i="1"/>
  <c r="R223" i="1"/>
  <c r="G223" i="1"/>
  <c r="F223" i="1"/>
  <c r="R219" i="1"/>
  <c r="F219" i="1"/>
  <c r="G219" i="1"/>
  <c r="R9" i="1"/>
  <c r="G9" i="1"/>
  <c r="F9" i="1"/>
  <c r="G261" i="1"/>
  <c r="G257" i="1"/>
  <c r="F257" i="1"/>
  <c r="F253" i="1"/>
  <c r="G253" i="1"/>
  <c r="G379" i="1"/>
  <c r="F379" i="1"/>
  <c r="R379" i="1"/>
  <c r="R375" i="1"/>
  <c r="G375" i="1"/>
  <c r="R371" i="1"/>
  <c r="G371" i="1"/>
  <c r="F371" i="1"/>
  <c r="G447" i="1"/>
  <c r="F447" i="1"/>
  <c r="F206" i="1"/>
  <c r="F308" i="1"/>
  <c r="F282" i="1"/>
  <c r="F180" i="1"/>
  <c r="F42" i="1"/>
  <c r="F399" i="1"/>
  <c r="F133" i="1"/>
  <c r="F135" i="1"/>
  <c r="F380" i="1"/>
  <c r="G300" i="1"/>
  <c r="G140" i="1"/>
  <c r="G355" i="1"/>
  <c r="F355" i="1"/>
  <c r="G347" i="1"/>
  <c r="F347" i="1"/>
  <c r="R205" i="1"/>
  <c r="F205" i="1"/>
  <c r="R201" i="1"/>
  <c r="G201" i="1"/>
  <c r="R585" i="1"/>
  <c r="G585" i="1"/>
  <c r="F585" i="1"/>
  <c r="F316" i="1"/>
  <c r="G316" i="1"/>
  <c r="R287" i="1"/>
  <c r="G287" i="1"/>
  <c r="G290" i="1"/>
  <c r="F290" i="1"/>
  <c r="G332" i="1"/>
  <c r="R10" i="1"/>
  <c r="G10" i="1"/>
  <c r="F10" i="1"/>
  <c r="G21" i="1"/>
  <c r="F21" i="1"/>
  <c r="R106" i="1"/>
  <c r="G106" i="1"/>
  <c r="F106" i="1"/>
  <c r="R197" i="1"/>
  <c r="F197" i="1"/>
  <c r="R59" i="1"/>
  <c r="G59" i="1"/>
  <c r="F59" i="1"/>
  <c r="R58" i="1"/>
  <c r="G58" i="1"/>
  <c r="F58" i="1"/>
  <c r="R50" i="1"/>
  <c r="G50" i="1"/>
  <c r="F50" i="1"/>
  <c r="F41" i="1"/>
  <c r="F354" i="1"/>
  <c r="G350" i="1"/>
  <c r="F350" i="1"/>
  <c r="R208" i="1"/>
  <c r="G208" i="1"/>
  <c r="F208" i="1"/>
  <c r="R204" i="1"/>
  <c r="F204" i="1"/>
  <c r="G204" i="1"/>
  <c r="R200" i="1"/>
  <c r="G200" i="1"/>
  <c r="F200" i="1"/>
  <c r="G588" i="1"/>
  <c r="G584" i="1"/>
  <c r="F584" i="1"/>
  <c r="R584" i="1"/>
  <c r="G328" i="1"/>
  <c r="F328" i="1"/>
  <c r="R307" i="1"/>
  <c r="F307" i="1"/>
  <c r="R303" i="1"/>
  <c r="G303" i="1"/>
  <c r="R299" i="1"/>
  <c r="G299" i="1"/>
  <c r="F299" i="1"/>
  <c r="G141" i="1"/>
  <c r="F141" i="1"/>
  <c r="G323" i="1"/>
  <c r="F323" i="1"/>
  <c r="G319" i="1"/>
  <c r="G315" i="1"/>
  <c r="F315" i="1"/>
  <c r="R286" i="1"/>
  <c r="G286" i="1"/>
  <c r="F286" i="1"/>
  <c r="G289" i="1"/>
  <c r="F289" i="1"/>
  <c r="F142" i="1"/>
  <c r="G142" i="1"/>
  <c r="G331" i="1"/>
  <c r="F331" i="1"/>
  <c r="R11" i="1"/>
  <c r="G11" i="1"/>
  <c r="G28" i="1"/>
  <c r="F28" i="1"/>
  <c r="G29" i="1"/>
  <c r="F29" i="1"/>
  <c r="R109" i="1"/>
  <c r="F109" i="1"/>
  <c r="R33" i="1"/>
  <c r="G33" i="1"/>
  <c r="R62" i="1"/>
  <c r="G62" i="1"/>
  <c r="F62" i="1"/>
  <c r="R325" i="1"/>
  <c r="G325" i="1"/>
  <c r="F325" i="1"/>
  <c r="R22" i="1"/>
  <c r="G22" i="1"/>
  <c r="F22" i="1"/>
  <c r="R57" i="1"/>
  <c r="G57" i="1"/>
  <c r="G53" i="1"/>
  <c r="F53" i="1"/>
  <c r="R53" i="1"/>
  <c r="R49" i="1"/>
  <c r="F49" i="1"/>
  <c r="R105" i="1"/>
  <c r="G105" i="1"/>
  <c r="F105" i="1"/>
  <c r="G44" i="1"/>
  <c r="F44" i="1"/>
  <c r="F40" i="1"/>
  <c r="G40" i="1"/>
  <c r="G36" i="1"/>
  <c r="F36" i="1"/>
  <c r="R277" i="1"/>
  <c r="G277" i="1"/>
  <c r="G273" i="1"/>
  <c r="F273" i="1"/>
  <c r="R273" i="1"/>
  <c r="R269" i="1"/>
  <c r="G269" i="1"/>
  <c r="F269" i="1"/>
  <c r="F398" i="1"/>
  <c r="G394" i="1"/>
  <c r="G390" i="1"/>
  <c r="F390" i="1"/>
  <c r="R239" i="1"/>
  <c r="G239" i="1"/>
  <c r="F239" i="1"/>
  <c r="R235" i="1"/>
  <c r="G235" i="1"/>
  <c r="F235" i="1"/>
  <c r="R231" i="1"/>
  <c r="G231" i="1"/>
  <c r="G6" i="1"/>
  <c r="F6" i="1"/>
  <c r="R251" i="1"/>
  <c r="F251" i="1"/>
  <c r="G251" i="1"/>
  <c r="R247" i="1"/>
  <c r="G247" i="1"/>
  <c r="F247" i="1"/>
  <c r="R243" i="1"/>
  <c r="G243" i="1"/>
  <c r="G12" i="1"/>
  <c r="F12" i="1"/>
  <c r="R12" i="1"/>
  <c r="F131" i="1"/>
  <c r="G131" i="1"/>
  <c r="R119" i="1"/>
  <c r="G119" i="1"/>
  <c r="F119" i="1"/>
  <c r="R115" i="1"/>
  <c r="G115" i="1"/>
  <c r="R134" i="1"/>
  <c r="G134" i="1"/>
  <c r="F134" i="1"/>
  <c r="R78" i="1"/>
  <c r="F78" i="1"/>
  <c r="G78" i="1"/>
  <c r="R266" i="1"/>
  <c r="G266" i="1"/>
  <c r="R280" i="1"/>
  <c r="G280" i="1"/>
  <c r="F280" i="1"/>
  <c r="R124" i="1"/>
  <c r="G124" i="1"/>
  <c r="F124" i="1"/>
  <c r="R226" i="1"/>
  <c r="G226" i="1"/>
  <c r="F226" i="1"/>
  <c r="R222" i="1"/>
  <c r="G222" i="1"/>
  <c r="R218" i="1"/>
  <c r="G218" i="1"/>
  <c r="F218" i="1"/>
  <c r="F264" i="1"/>
  <c r="G264" i="1"/>
  <c r="G260" i="1"/>
  <c r="F260" i="1"/>
  <c r="G256" i="1"/>
  <c r="R382" i="1"/>
  <c r="G382" i="1"/>
  <c r="F382" i="1"/>
  <c r="R378" i="1"/>
  <c r="F378" i="1"/>
  <c r="G378" i="1"/>
  <c r="R374" i="1"/>
  <c r="G374" i="1"/>
  <c r="F374" i="1"/>
  <c r="G450" i="1"/>
  <c r="R446" i="1"/>
  <c r="G446" i="1"/>
  <c r="F446" i="1"/>
  <c r="R442" i="1"/>
  <c r="F442" i="1"/>
  <c r="G442" i="1"/>
  <c r="R438" i="1"/>
  <c r="G438" i="1"/>
  <c r="F438" i="1"/>
  <c r="R429" i="1"/>
  <c r="G429" i="1"/>
  <c r="G425" i="1"/>
  <c r="F425" i="1"/>
  <c r="G421" i="1"/>
  <c r="F421" i="1"/>
  <c r="G403" i="1"/>
  <c r="F403" i="1"/>
  <c r="R416" i="1"/>
  <c r="G416" i="1"/>
  <c r="R407" i="1"/>
  <c r="G407" i="1"/>
  <c r="F407" i="1"/>
  <c r="R417" i="1"/>
  <c r="G417" i="1"/>
  <c r="F417" i="1"/>
  <c r="R199" i="1"/>
  <c r="G199" i="1"/>
  <c r="F199" i="1"/>
  <c r="F411" i="1"/>
  <c r="G411" i="1"/>
  <c r="R386" i="1"/>
  <c r="F386" i="1"/>
  <c r="G386" i="1"/>
  <c r="R182" i="1"/>
  <c r="F182" i="1"/>
  <c r="G182" i="1"/>
  <c r="F191" i="1"/>
  <c r="G191" i="1"/>
  <c r="F187" i="1"/>
  <c r="G187" i="1"/>
  <c r="F183" i="1"/>
  <c r="G183" i="1"/>
  <c r="F431" i="1"/>
  <c r="G431" i="1"/>
  <c r="R213" i="1"/>
  <c r="F213" i="1"/>
  <c r="G213" i="1"/>
  <c r="F580" i="1"/>
  <c r="G580" i="1"/>
  <c r="R564" i="1"/>
  <c r="F564" i="1"/>
  <c r="G564" i="1"/>
  <c r="R560" i="1"/>
  <c r="F560" i="1"/>
  <c r="G560" i="1"/>
  <c r="F556" i="1"/>
  <c r="G556" i="1"/>
  <c r="F552" i="1"/>
  <c r="G552" i="1"/>
  <c r="F548" i="1"/>
  <c r="G548" i="1"/>
  <c r="F544" i="1"/>
  <c r="G544" i="1"/>
  <c r="F540" i="1"/>
  <c r="G540" i="1"/>
  <c r="F536" i="1"/>
  <c r="G536" i="1"/>
  <c r="F532" i="1"/>
  <c r="G532" i="1"/>
  <c r="F528" i="1"/>
  <c r="G528" i="1"/>
  <c r="F524" i="1"/>
  <c r="G524" i="1"/>
  <c r="F520" i="1"/>
  <c r="G520" i="1"/>
  <c r="F516" i="1"/>
  <c r="G516" i="1"/>
  <c r="F512" i="1"/>
  <c r="G512" i="1"/>
  <c r="F508" i="1"/>
  <c r="G508" i="1"/>
  <c r="F504" i="1"/>
  <c r="G504" i="1"/>
  <c r="F500" i="1"/>
  <c r="G500" i="1"/>
  <c r="G496" i="1"/>
  <c r="F496" i="1"/>
  <c r="F492" i="1"/>
  <c r="G492" i="1"/>
  <c r="R488" i="1"/>
  <c r="F488" i="1"/>
  <c r="G488" i="1"/>
  <c r="R484" i="1"/>
  <c r="F484" i="1"/>
  <c r="G484" i="1"/>
  <c r="R480" i="1"/>
  <c r="G480" i="1"/>
  <c r="F480" i="1"/>
  <c r="F476" i="1"/>
  <c r="G476" i="1"/>
  <c r="F472" i="1"/>
  <c r="G472" i="1"/>
  <c r="F468" i="1"/>
  <c r="G468" i="1"/>
  <c r="G578" i="1"/>
  <c r="F578" i="1"/>
  <c r="F574" i="1"/>
  <c r="G574" i="1"/>
  <c r="F570" i="1"/>
  <c r="G570" i="1"/>
  <c r="R452" i="1"/>
  <c r="F452" i="1"/>
  <c r="G452" i="1"/>
  <c r="F367" i="1"/>
  <c r="G367" i="1"/>
  <c r="G363" i="1"/>
  <c r="F363" i="1"/>
  <c r="F359" i="1"/>
  <c r="G359" i="1"/>
  <c r="F342" i="1"/>
  <c r="G342" i="1"/>
  <c r="F338" i="1"/>
  <c r="G338" i="1"/>
  <c r="G334" i="1"/>
  <c r="F334" i="1"/>
  <c r="F177" i="1"/>
  <c r="G177" i="1"/>
  <c r="F173" i="1"/>
  <c r="G173" i="1"/>
  <c r="F169" i="1"/>
  <c r="G169" i="1"/>
  <c r="R165" i="1"/>
  <c r="G165" i="1"/>
  <c r="F165" i="1"/>
  <c r="R161" i="1"/>
  <c r="F161" i="1"/>
  <c r="G161" i="1"/>
  <c r="F157" i="1"/>
  <c r="G157" i="1"/>
  <c r="F153" i="1"/>
  <c r="G153" i="1"/>
  <c r="G149" i="1"/>
  <c r="F149" i="1"/>
  <c r="R145" i="1"/>
  <c r="F145" i="1"/>
  <c r="G145" i="1"/>
  <c r="F100" i="1"/>
  <c r="G100" i="1"/>
  <c r="F96" i="1"/>
  <c r="G96" i="1"/>
  <c r="G92" i="1"/>
  <c r="F92" i="1"/>
  <c r="F88" i="1"/>
  <c r="G88" i="1"/>
  <c r="F84" i="1"/>
  <c r="G84" i="1"/>
  <c r="F80" i="1"/>
  <c r="G80" i="1"/>
  <c r="G72" i="1"/>
  <c r="F72" i="1"/>
  <c r="F68" i="1"/>
  <c r="G68" i="1"/>
  <c r="F356" i="1"/>
  <c r="F201" i="1"/>
  <c r="F303" i="1"/>
  <c r="F313" i="1"/>
  <c r="F332" i="1"/>
  <c r="F33" i="1"/>
  <c r="F51" i="1"/>
  <c r="F37" i="1"/>
  <c r="F394" i="1"/>
  <c r="F4" i="1"/>
  <c r="F120" i="1"/>
  <c r="F266" i="1"/>
  <c r="F216" i="1"/>
  <c r="F375" i="1"/>
  <c r="F429" i="1"/>
  <c r="G324" i="1"/>
  <c r="G139" i="1"/>
  <c r="G197" i="1"/>
  <c r="G3" i="1"/>
  <c r="G398" i="1"/>
  <c r="G473" i="1"/>
  <c r="F357" i="1"/>
  <c r="G353" i="1"/>
  <c r="F353" i="1"/>
  <c r="F349" i="1"/>
  <c r="R211" i="1"/>
  <c r="F211" i="1"/>
  <c r="R207" i="1"/>
  <c r="F207" i="1"/>
  <c r="G203" i="1"/>
  <c r="F203" i="1"/>
  <c r="F591" i="1"/>
  <c r="R587" i="1"/>
  <c r="F587" i="1"/>
  <c r="R130" i="1"/>
  <c r="F130" i="1"/>
  <c r="R310" i="1"/>
  <c r="G310" i="1"/>
  <c r="F310" i="1"/>
  <c r="R306" i="1"/>
  <c r="F306" i="1"/>
  <c r="R302" i="1"/>
  <c r="F302" i="1"/>
  <c r="F288" i="1"/>
  <c r="G295" i="1"/>
  <c r="F295" i="1"/>
  <c r="F322" i="1"/>
  <c r="F318" i="1"/>
  <c r="F314" i="1"/>
  <c r="R296" i="1"/>
  <c r="G296" i="1"/>
  <c r="F296" i="1"/>
  <c r="F285" i="1"/>
  <c r="F292" i="1"/>
  <c r="F311" i="1"/>
  <c r="G327" i="1"/>
  <c r="F327" i="1"/>
  <c r="F330" i="1"/>
  <c r="R195" i="1"/>
  <c r="F195" i="1"/>
  <c r="F30" i="1"/>
  <c r="R26" i="1"/>
  <c r="G26" i="1"/>
  <c r="F26" i="1"/>
  <c r="R108" i="1"/>
  <c r="F108" i="1"/>
  <c r="R34" i="1"/>
  <c r="F34" i="1"/>
  <c r="R61" i="1"/>
  <c r="F61" i="1"/>
  <c r="G25" i="1"/>
  <c r="F25" i="1"/>
  <c r="F15" i="1"/>
  <c r="R56" i="1"/>
  <c r="F56" i="1"/>
  <c r="R52" i="1"/>
  <c r="F52" i="1"/>
  <c r="R48" i="1"/>
  <c r="G48" i="1"/>
  <c r="F48" i="1"/>
  <c r="R104" i="1"/>
  <c r="F104" i="1"/>
  <c r="F13" i="1"/>
  <c r="F43" i="1"/>
  <c r="G39" i="1"/>
  <c r="F39" i="1"/>
  <c r="F35" i="1"/>
  <c r="R276" i="1"/>
  <c r="F276" i="1"/>
  <c r="R272" i="1"/>
  <c r="F272" i="1"/>
  <c r="R268" i="1"/>
  <c r="G268" i="1"/>
  <c r="F268" i="1"/>
  <c r="F397" i="1"/>
  <c r="F393" i="1"/>
  <c r="F389" i="1"/>
  <c r="G238" i="1"/>
  <c r="F238" i="1"/>
  <c r="R234" i="1"/>
  <c r="F234" i="1"/>
  <c r="R230" i="1"/>
  <c r="F230" i="1"/>
  <c r="F5" i="1"/>
  <c r="R250" i="1"/>
  <c r="G250" i="1"/>
  <c r="F250" i="1"/>
  <c r="R246" i="1"/>
  <c r="F246" i="1"/>
  <c r="R242" i="1"/>
  <c r="F242" i="1"/>
  <c r="R137" i="1"/>
  <c r="F137" i="1"/>
  <c r="R122" i="1"/>
  <c r="G122" i="1"/>
  <c r="F122" i="1"/>
  <c r="R118" i="1"/>
  <c r="F118" i="1"/>
  <c r="R114" i="1"/>
  <c r="F114" i="1"/>
  <c r="R20" i="1"/>
  <c r="F20" i="1"/>
  <c r="G123" i="1"/>
  <c r="F123" i="1"/>
  <c r="R77" i="1"/>
  <c r="F77" i="1"/>
  <c r="R281" i="1"/>
  <c r="F281" i="1"/>
  <c r="R127" i="1"/>
  <c r="F127" i="1"/>
  <c r="R2" i="1"/>
  <c r="G2" i="1"/>
  <c r="F2" i="1"/>
  <c r="R225" i="1"/>
  <c r="F225" i="1"/>
  <c r="R221" i="1"/>
  <c r="F221" i="1"/>
  <c r="R217" i="1"/>
  <c r="F217" i="1"/>
  <c r="G263" i="1"/>
  <c r="F263" i="1"/>
  <c r="F259" i="1"/>
  <c r="G255" i="1"/>
  <c r="F255" i="1"/>
  <c r="R381" i="1"/>
  <c r="G381" i="1"/>
  <c r="F381" i="1"/>
  <c r="R377" i="1"/>
  <c r="G377" i="1"/>
  <c r="F377" i="1"/>
  <c r="R373" i="1"/>
  <c r="F373" i="1"/>
  <c r="G449" i="1"/>
  <c r="F449" i="1"/>
  <c r="R445" i="1"/>
  <c r="G445" i="1"/>
  <c r="F445" i="1"/>
  <c r="R441" i="1"/>
  <c r="G441" i="1"/>
  <c r="F441" i="1"/>
  <c r="R437" i="1"/>
  <c r="F437" i="1"/>
  <c r="G428" i="1"/>
  <c r="F428" i="1"/>
  <c r="G424" i="1"/>
  <c r="F424" i="1"/>
  <c r="G420" i="1"/>
  <c r="F420" i="1"/>
  <c r="F402" i="1"/>
  <c r="R415" i="1"/>
  <c r="G415" i="1"/>
  <c r="F415" i="1"/>
  <c r="R406" i="1"/>
  <c r="G406" i="1"/>
  <c r="F406" i="1"/>
  <c r="R435" i="1"/>
  <c r="G435" i="1"/>
  <c r="F435" i="1"/>
  <c r="F370" i="1"/>
  <c r="R385" i="1"/>
  <c r="G385" i="1"/>
  <c r="G194" i="1"/>
  <c r="G190" i="1"/>
  <c r="F190" i="1"/>
  <c r="G434" i="1"/>
  <c r="G408" i="1"/>
  <c r="R212" i="1"/>
  <c r="G212" i="1"/>
  <c r="F212" i="1"/>
  <c r="R563" i="1"/>
  <c r="G563" i="1"/>
  <c r="R559" i="1"/>
  <c r="G559" i="1"/>
  <c r="G555" i="1"/>
  <c r="F555" i="1"/>
  <c r="G547" i="1"/>
  <c r="G543" i="1"/>
  <c r="G539" i="1"/>
  <c r="F539" i="1"/>
  <c r="G531" i="1"/>
  <c r="G527" i="1"/>
  <c r="G523" i="1"/>
  <c r="F523" i="1"/>
  <c r="G515" i="1"/>
  <c r="G511" i="1"/>
  <c r="G507" i="1"/>
  <c r="F507" i="1"/>
  <c r="G503" i="1"/>
  <c r="G499" i="1"/>
  <c r="G495" i="1"/>
  <c r="G491" i="1"/>
  <c r="F491" i="1"/>
  <c r="G487" i="1"/>
  <c r="R487" i="1"/>
  <c r="R483" i="1"/>
  <c r="G483" i="1"/>
  <c r="G479" i="1"/>
  <c r="R479" i="1"/>
  <c r="G475" i="1"/>
  <c r="F475" i="1"/>
  <c r="G467" i="1"/>
  <c r="G577" i="1"/>
  <c r="G573" i="1"/>
  <c r="F573" i="1"/>
  <c r="G569" i="1"/>
  <c r="G451" i="1"/>
  <c r="G366" i="1"/>
  <c r="G362" i="1"/>
  <c r="G358" i="1"/>
  <c r="F358" i="1"/>
  <c r="G341" i="1"/>
  <c r="G337" i="1"/>
  <c r="G333" i="1"/>
  <c r="G176" i="1"/>
  <c r="F176" i="1"/>
  <c r="G172" i="1"/>
  <c r="R168" i="1"/>
  <c r="G168" i="1"/>
  <c r="G164" i="1"/>
  <c r="R164" i="1"/>
  <c r="G160" i="1"/>
  <c r="F160" i="1"/>
  <c r="G156" i="1"/>
  <c r="G152" i="1"/>
  <c r="G148" i="1"/>
  <c r="R148" i="1"/>
  <c r="G144" i="1"/>
  <c r="F144" i="1"/>
  <c r="G99" i="1"/>
  <c r="G95" i="1"/>
  <c r="G91" i="1"/>
  <c r="G87" i="1"/>
  <c r="F87" i="1"/>
  <c r="G83" i="1"/>
  <c r="R79" i="1"/>
  <c r="G79" i="1"/>
  <c r="G71" i="1"/>
  <c r="G67" i="1"/>
  <c r="F67" i="1"/>
  <c r="G63" i="1"/>
  <c r="F410" i="1"/>
  <c r="F194" i="1"/>
  <c r="F563" i="1"/>
  <c r="F557" i="1"/>
  <c r="F535" i="1"/>
  <c r="F527" i="1"/>
  <c r="F514" i="1"/>
  <c r="F499" i="1"/>
  <c r="F471" i="1"/>
  <c r="F577" i="1"/>
  <c r="F366" i="1"/>
  <c r="F360" i="1"/>
  <c r="F172" i="1"/>
  <c r="F164" i="1"/>
  <c r="F151" i="1"/>
  <c r="F95" i="1"/>
  <c r="F63" i="1"/>
  <c r="G211" i="1"/>
  <c r="G306" i="1"/>
  <c r="G288" i="1"/>
  <c r="G292" i="1"/>
  <c r="G108" i="1"/>
  <c r="G61" i="1"/>
  <c r="G13" i="1"/>
  <c r="G397" i="1"/>
  <c r="G389" i="1"/>
  <c r="G242" i="1"/>
  <c r="G77" i="1"/>
  <c r="G127" i="1"/>
  <c r="G437" i="1"/>
  <c r="G413" i="1"/>
  <c r="G186" i="1"/>
  <c r="G519" i="1"/>
  <c r="G494" i="1"/>
  <c r="G466" i="1"/>
  <c r="G174" i="1"/>
  <c r="G146" i="1"/>
  <c r="R25" i="1"/>
  <c r="G427" i="1"/>
  <c r="G423" i="1"/>
  <c r="G419" i="1"/>
  <c r="G401" i="1"/>
  <c r="R414" i="1"/>
  <c r="G414" i="1"/>
  <c r="R405" i="1"/>
  <c r="G405" i="1"/>
  <c r="G345" i="1"/>
  <c r="R387" i="1"/>
  <c r="G387" i="1"/>
  <c r="G409" i="1"/>
  <c r="F409" i="1"/>
  <c r="R384" i="1"/>
  <c r="G384" i="1"/>
  <c r="G193" i="1"/>
  <c r="G189" i="1"/>
  <c r="G185" i="1"/>
  <c r="F185" i="1"/>
  <c r="G433" i="1"/>
  <c r="R215" i="1"/>
  <c r="G215" i="1"/>
  <c r="G582" i="1"/>
  <c r="R566" i="1"/>
  <c r="G566" i="1"/>
  <c r="F566" i="1"/>
  <c r="R562" i="1"/>
  <c r="G562" i="1"/>
  <c r="R558" i="1"/>
  <c r="G558" i="1"/>
  <c r="G554" i="1"/>
  <c r="G550" i="1"/>
  <c r="F550" i="1"/>
  <c r="G546" i="1"/>
  <c r="G542" i="1"/>
  <c r="G538" i="1"/>
  <c r="G534" i="1"/>
  <c r="F534" i="1"/>
  <c r="G530" i="1"/>
  <c r="G526" i="1"/>
  <c r="G522" i="1"/>
  <c r="G518" i="1"/>
  <c r="F518" i="1"/>
  <c r="G510" i="1"/>
  <c r="G506" i="1"/>
  <c r="F502" i="1"/>
  <c r="G498" i="1"/>
  <c r="G490" i="1"/>
  <c r="R486" i="1"/>
  <c r="G486" i="1"/>
  <c r="F486" i="1"/>
  <c r="R482" i="1"/>
  <c r="G482" i="1"/>
  <c r="R478" i="1"/>
  <c r="G478" i="1"/>
  <c r="G474" i="1"/>
  <c r="G470" i="1"/>
  <c r="F470" i="1"/>
  <c r="G576" i="1"/>
  <c r="G572" i="1"/>
  <c r="G568" i="1"/>
  <c r="F568" i="1"/>
  <c r="F369" i="1"/>
  <c r="G365" i="1"/>
  <c r="G344" i="1"/>
  <c r="G340" i="1"/>
  <c r="F340" i="1"/>
  <c r="G336" i="1"/>
  <c r="G179" i="1"/>
  <c r="G175" i="1"/>
  <c r="G170" i="1"/>
  <c r="F170" i="1"/>
  <c r="R163" i="1"/>
  <c r="G163" i="1"/>
  <c r="G159" i="1"/>
  <c r="G155" i="1"/>
  <c r="F155" i="1"/>
  <c r="G147" i="1"/>
  <c r="G138" i="1"/>
  <c r="F98" i="1"/>
  <c r="G94" i="1"/>
  <c r="G86" i="1"/>
  <c r="G82" i="1"/>
  <c r="F82" i="1"/>
  <c r="G74" i="1"/>
  <c r="G70" i="1"/>
  <c r="G66" i="1"/>
  <c r="F27" i="1"/>
  <c r="F426" i="1"/>
  <c r="F401" i="1"/>
  <c r="F413" i="1"/>
  <c r="F193" i="1"/>
  <c r="F562" i="1"/>
  <c r="F554" i="1"/>
  <c r="F526" i="1"/>
  <c r="F498" i="1"/>
  <c r="F490" i="1"/>
  <c r="F576" i="1"/>
  <c r="F365" i="1"/>
  <c r="F344" i="1"/>
  <c r="F163" i="1"/>
  <c r="F94" i="1"/>
  <c r="F86" i="1"/>
  <c r="G357" i="1"/>
  <c r="G587" i="1"/>
  <c r="G322" i="1"/>
  <c r="G314" i="1"/>
  <c r="G195" i="1"/>
  <c r="G15" i="1"/>
  <c r="G52" i="1"/>
  <c r="G276" i="1"/>
  <c r="G234" i="1"/>
  <c r="G5" i="1"/>
  <c r="G114" i="1"/>
  <c r="G225" i="1"/>
  <c r="G217" i="1"/>
  <c r="G373" i="1"/>
  <c r="G410" i="1"/>
  <c r="G535" i="1"/>
  <c r="G361" i="1"/>
  <c r="G167" i="1"/>
  <c r="G98" i="1"/>
  <c r="G27" i="1"/>
  <c r="R443" i="1"/>
  <c r="G443" i="1"/>
  <c r="R439" i="1"/>
  <c r="G439" i="1"/>
  <c r="R430" i="1"/>
  <c r="G430" i="1"/>
  <c r="G422" i="1"/>
  <c r="G418" i="1"/>
  <c r="G400" i="1"/>
  <c r="G404" i="1"/>
  <c r="R404" i="1"/>
  <c r="R198" i="1"/>
  <c r="G198" i="1"/>
  <c r="G412" i="1"/>
  <c r="R31" i="1"/>
  <c r="G31" i="1"/>
  <c r="R383" i="1"/>
  <c r="F383" i="1"/>
  <c r="G192" i="1"/>
  <c r="G188" i="1"/>
  <c r="G184" i="1"/>
  <c r="F432" i="1"/>
  <c r="R214" i="1"/>
  <c r="G214" i="1"/>
  <c r="G581" i="1"/>
  <c r="R565" i="1"/>
  <c r="G565" i="1"/>
  <c r="R561" i="1"/>
  <c r="F561" i="1"/>
  <c r="G553" i="1"/>
  <c r="G549" i="1"/>
  <c r="F545" i="1"/>
  <c r="G541" i="1"/>
  <c r="G537" i="1"/>
  <c r="G533" i="1"/>
  <c r="F529" i="1"/>
  <c r="G525" i="1"/>
  <c r="G521" i="1"/>
  <c r="G517" i="1"/>
  <c r="F513" i="1"/>
  <c r="G509" i="1"/>
  <c r="G505" i="1"/>
  <c r="G501" i="1"/>
  <c r="G497" i="1"/>
  <c r="F497" i="1"/>
  <c r="R493" i="1"/>
  <c r="G493" i="1"/>
  <c r="R489" i="1"/>
  <c r="G489" i="1"/>
  <c r="R485" i="1"/>
  <c r="G485" i="1"/>
  <c r="R481" i="1"/>
  <c r="F481" i="1"/>
  <c r="G477" i="1"/>
  <c r="G469" i="1"/>
  <c r="G579" i="1"/>
  <c r="F579" i="1"/>
  <c r="G575" i="1"/>
  <c r="G571" i="1"/>
  <c r="G465" i="1"/>
  <c r="G368" i="1"/>
  <c r="G364" i="1"/>
  <c r="F364" i="1"/>
  <c r="G343" i="1"/>
  <c r="G339" i="1"/>
  <c r="F335" i="1"/>
  <c r="G178" i="1"/>
  <c r="G171" i="1"/>
  <c r="R166" i="1"/>
  <c r="G166" i="1"/>
  <c r="F166" i="1"/>
  <c r="R162" i="1"/>
  <c r="G162" i="1"/>
  <c r="G158" i="1"/>
  <c r="G154" i="1"/>
  <c r="G150" i="1"/>
  <c r="F150" i="1"/>
  <c r="G101" i="1"/>
  <c r="G97" i="1"/>
  <c r="G93" i="1"/>
  <c r="F93" i="1"/>
  <c r="G89" i="1"/>
  <c r="G85" i="1"/>
  <c r="G81" i="1"/>
  <c r="F73" i="1"/>
  <c r="G69" i="1"/>
  <c r="G65" i="1"/>
  <c r="F430" i="1"/>
  <c r="F419" i="1"/>
  <c r="F400" i="1"/>
  <c r="F345" i="1"/>
  <c r="F387" i="1"/>
  <c r="F192" i="1"/>
  <c r="F184" i="1"/>
  <c r="F215" i="1"/>
  <c r="F553" i="1"/>
  <c r="F546" i="1"/>
  <c r="F538" i="1"/>
  <c r="F525" i="1"/>
  <c r="F517" i="1"/>
  <c r="F510" i="1"/>
  <c r="F489" i="1"/>
  <c r="F482" i="1"/>
  <c r="F474" i="1"/>
  <c r="F575" i="1"/>
  <c r="F465" i="1"/>
  <c r="F343" i="1"/>
  <c r="F336" i="1"/>
  <c r="F175" i="1"/>
  <c r="F162" i="1"/>
  <c r="F154" i="1"/>
  <c r="F147" i="1"/>
  <c r="F85" i="1"/>
  <c r="F74" i="1"/>
  <c r="F66" i="1"/>
  <c r="G349" i="1"/>
  <c r="G207" i="1"/>
  <c r="G302" i="1"/>
  <c r="G285" i="1"/>
  <c r="G311" i="1"/>
  <c r="G34" i="1"/>
  <c r="G104" i="1"/>
  <c r="G43" i="1"/>
  <c r="G393" i="1"/>
  <c r="G246" i="1"/>
  <c r="G137" i="1"/>
  <c r="G281" i="1"/>
  <c r="G259" i="1"/>
  <c r="G370" i="1"/>
  <c r="G383" i="1"/>
  <c r="G551" i="1"/>
  <c r="G529" i="1"/>
  <c r="G481" i="1"/>
  <c r="G90" i="1"/>
  <c r="R295" i="1"/>
  <c r="R238" i="1"/>
  <c r="R557" i="1"/>
  <c r="G64" i="1"/>
  <c r="F64" i="1"/>
</calcChain>
</file>

<file path=xl/sharedStrings.xml><?xml version="1.0" encoding="utf-8"?>
<sst xmlns="http://schemas.openxmlformats.org/spreadsheetml/2006/main" count="12776" uniqueCount="1451">
  <si>
    <t> </t>
  </si>
  <si>
    <t>0604017</t>
  </si>
  <si>
    <t>Ц</t>
  </si>
  <si>
    <t>ПВ</t>
  </si>
  <si>
    <t>№ 4-инновация</t>
  </si>
  <si>
    <t>Смагина Татьяна Игоревна, т. 3-40, к. 301</t>
  </si>
  <si>
    <t>Трушаева Наталья Ивановна, т. 320, к. 307</t>
  </si>
  <si>
    <t>0606013</t>
  </si>
  <si>
    <t>3-Ф</t>
  </si>
  <si>
    <t>Ожгибцева Юлия Анатольевна, т. 2-18,409, к. 513</t>
  </si>
  <si>
    <t>Рублёва Наталья Адольфовна, т. 322, к. 307</t>
  </si>
  <si>
    <t>0606038</t>
  </si>
  <si>
    <t>С</t>
  </si>
  <si>
    <t>Форма № 1</t>
  </si>
  <si>
    <t>0606045</t>
  </si>
  <si>
    <t>Форма № ЗП-здрав</t>
  </si>
  <si>
    <t>Фаттахова Гульшат Гадынановна, т. 318, к. 307</t>
  </si>
  <si>
    <t>0606046</t>
  </si>
  <si>
    <t>Форма № ЗП-культура</t>
  </si>
  <si>
    <t>0606047</t>
  </si>
  <si>
    <t>Форма № 3П-наука</t>
  </si>
  <si>
    <t>0606048</t>
  </si>
  <si>
    <t>Форма № 3П-образование</t>
  </si>
  <si>
    <t>0606049</t>
  </si>
  <si>
    <t>Форма № 3П-соц</t>
  </si>
  <si>
    <t>0606065</t>
  </si>
  <si>
    <t>№ 1-Т(МС)</t>
  </si>
  <si>
    <t>0606066</t>
  </si>
  <si>
    <t>№ 1-Т(ГС)</t>
  </si>
  <si>
    <t>0608038</t>
  </si>
  <si>
    <t>К</t>
  </si>
  <si>
    <t>1-приватизация (жилье)</t>
  </si>
  <si>
    <t>Леонова Екатерина Юрьевна, т. 825, к. 203</t>
  </si>
  <si>
    <t>Усова Яна Сергеевна, т. 321, к. 307</t>
  </si>
  <si>
    <t>0609200</t>
  </si>
  <si>
    <t>1-жилфонд</t>
  </si>
  <si>
    <t>Макеева Светлана Владимировна, т. 800, к. 425</t>
  </si>
  <si>
    <t>0609204</t>
  </si>
  <si>
    <t>1-ПУ (ЖКХ)</t>
  </si>
  <si>
    <t>Ничепорук Людмила Борисовна, т. 806, к. 437</t>
  </si>
  <si>
    <t>0609207</t>
  </si>
  <si>
    <t>4-жилфонд</t>
  </si>
  <si>
    <t>Алясик Валентина Юрьевна, т. 807, к. 435</t>
  </si>
  <si>
    <t>0609210</t>
  </si>
  <si>
    <t>1-КХ</t>
  </si>
  <si>
    <t>Звонкова Елена Павловна, т. 824, к. 203</t>
  </si>
  <si>
    <t>0609214</t>
  </si>
  <si>
    <t>1-РПЖ</t>
  </si>
  <si>
    <t>0609224</t>
  </si>
  <si>
    <t>4-соцнайм</t>
  </si>
  <si>
    <t>0609226</t>
  </si>
  <si>
    <t>22-ЖКХ (жилище)</t>
  </si>
  <si>
    <t>0609227</t>
  </si>
  <si>
    <t>22-ЖКХ (ресурсы)</t>
  </si>
  <si>
    <t>0609231</t>
  </si>
  <si>
    <t>1-водопровод</t>
  </si>
  <si>
    <t>Галиева Елена Викторовна, т. 823, к. 203</t>
  </si>
  <si>
    <t>0609245</t>
  </si>
  <si>
    <t>1-ТЕП</t>
  </si>
  <si>
    <t>Гайфуллина Лариса Радиковна, т. 826, к. 435</t>
  </si>
  <si>
    <t>0609235</t>
  </si>
  <si>
    <t>1-канализация</t>
  </si>
  <si>
    <t>Налимова Наталья Александровна, т. 805, к. 437</t>
  </si>
  <si>
    <t>0609253</t>
  </si>
  <si>
    <t>22-ЖКХ (субсидии)</t>
  </si>
  <si>
    <t>0609255</t>
  </si>
  <si>
    <t>26-ЖКХ</t>
  </si>
  <si>
    <t>0612003</t>
  </si>
  <si>
    <t>ИЖС</t>
  </si>
  <si>
    <t>Черемных Алексей Генрихович, т. 2-53, к. 430</t>
  </si>
  <si>
    <t>0612010</t>
  </si>
  <si>
    <t>1-разрешение</t>
  </si>
  <si>
    <t>0616001</t>
  </si>
  <si>
    <t>1-цены приобретения</t>
  </si>
  <si>
    <t>Тимофеева Татьяна Михайловна, т. 704, к. 508</t>
  </si>
  <si>
    <t>0616004</t>
  </si>
  <si>
    <t>0616005</t>
  </si>
  <si>
    <t>Фаткулова Альфия Ахметовна,
Жолобова Ирина Сергеевна, т. 705, 724, к. 507</t>
  </si>
  <si>
    <t>Горячева Светлана Сергеевна, т. 303, к. 307</t>
  </si>
  <si>
    <t>0616006</t>
  </si>
  <si>
    <t>Смоленцева Евгения Константиновна, т. 702, к. 505</t>
  </si>
  <si>
    <t>0616022</t>
  </si>
  <si>
    <t>0616007</t>
  </si>
  <si>
    <t>0616008</t>
  </si>
  <si>
    <t>Мамаева Ираида Геннадьевна, т. 706, к. 507</t>
  </si>
  <si>
    <t>0616009</t>
  </si>
  <si>
    <t>0616010</t>
  </si>
  <si>
    <t>Байдалова Ольга Анатольевна,
Мельчакова Ирина Сергеевна, т. 714, 720, к. 506 505</t>
  </si>
  <si>
    <t>21.11.2024</t>
  </si>
  <si>
    <t>0616012</t>
  </si>
  <si>
    <t>Разумова Радмила Константиновна, т. 722, к. 508</t>
  </si>
  <si>
    <t>0616015</t>
  </si>
  <si>
    <t>Забровская Наталья Александровна, т. 717, к. 505</t>
  </si>
  <si>
    <t>0616016</t>
  </si>
  <si>
    <t>0616017</t>
  </si>
  <si>
    <t>0616019</t>
  </si>
  <si>
    <t>0616021</t>
  </si>
  <si>
    <t>0616032</t>
  </si>
  <si>
    <t>0609708</t>
  </si>
  <si>
    <t>№ 1-ДА(услуги)</t>
  </si>
  <si>
    <t>Синюкова наталья Михайловна, т. 613, к. 527</t>
  </si>
  <si>
    <t>0614019</t>
  </si>
  <si>
    <t>1-ИП (торговля)</t>
  </si>
  <si>
    <t>Верхозина Екатерина Евгеньевна, т. 604, к. 300</t>
  </si>
  <si>
    <t>0615069</t>
  </si>
  <si>
    <t>1-ИП (автогруз)</t>
  </si>
  <si>
    <t>Девятирякова Ольга Леонидовна, т. 2-47, 371-03-28 (доб. 804), к. 439</t>
  </si>
  <si>
    <t>0609407</t>
  </si>
  <si>
    <t>1-КСР (основные индикаторы)</t>
  </si>
  <si>
    <t>Салихова Ольга Вадимовна, т. 612, к. 509</t>
  </si>
  <si>
    <t>0609400</t>
  </si>
  <si>
    <t>1-КСР</t>
  </si>
  <si>
    <t>Болотова Марина Владимировна, т. 608, к. 509</t>
  </si>
  <si>
    <t>0614001</t>
  </si>
  <si>
    <t>1-конъюнктура</t>
  </si>
  <si>
    <t>Гаева Виктория Николаевна, т. 2-27, 619, к. 522</t>
  </si>
  <si>
    <t>0604030</t>
  </si>
  <si>
    <t>1-НК</t>
  </si>
  <si>
    <t>Ожгибцева Юлия Анатольевна, т. 409, к. 513</t>
  </si>
  <si>
    <t>0614026</t>
  </si>
  <si>
    <t>1-ТОРГ(МО)</t>
  </si>
  <si>
    <t>0614004</t>
  </si>
  <si>
    <t>№ 1-ТОРГ</t>
  </si>
  <si>
    <t>Очкур Наталья Михайловна, т. 3-63, к. 300</t>
  </si>
  <si>
    <t>0615126</t>
  </si>
  <si>
    <t>1-вод</t>
  </si>
  <si>
    <t>0613001</t>
  </si>
  <si>
    <t>1-лицензия</t>
  </si>
  <si>
    <t>0609706</t>
  </si>
  <si>
    <t>1-турфирма</t>
  </si>
  <si>
    <t>Базарова Инна Олеговна, т. 618, к. 527</t>
  </si>
  <si>
    <t>0609703</t>
  </si>
  <si>
    <t>1-услуги</t>
  </si>
  <si>
    <t>Вигура Э.Ш., т. 601, к. 514</t>
  </si>
  <si>
    <t>0612007</t>
  </si>
  <si>
    <t>форма № 12 строительство</t>
  </si>
  <si>
    <t>Дербеденева Елена Васильевна, т. 816, к. 436</t>
  </si>
  <si>
    <t>0615071</t>
  </si>
  <si>
    <t>1-ТР (автотранспорт)</t>
  </si>
  <si>
    <t>Краева Ольга Федоровна, т. 2-47, IP 801, к. 439</t>
  </si>
  <si>
    <t>0615007</t>
  </si>
  <si>
    <t>2-ТР (жел)</t>
  </si>
  <si>
    <t>0614011</t>
  </si>
  <si>
    <t>3-ярмарка</t>
  </si>
  <si>
    <t>Иванникова Ольга Геннадьевна, т. 2-14; вн.615, к. 300</t>
  </si>
  <si>
    <t>0614046</t>
  </si>
  <si>
    <t>3-рынок</t>
  </si>
  <si>
    <t>0614009</t>
  </si>
  <si>
    <t>№ 3-ТОРГ(ПМ)</t>
  </si>
  <si>
    <t>Горохводацкая Александра Сергеевна, т. 620, 2-00, к. 524</t>
  </si>
  <si>
    <t>0615055</t>
  </si>
  <si>
    <t>1-автотранс</t>
  </si>
  <si>
    <t>Медведева Елена Федоровна, т. 2-47, 803, к. 439</t>
  </si>
  <si>
    <t>0615056</t>
  </si>
  <si>
    <t>65-автотранс</t>
  </si>
  <si>
    <t>0615068</t>
  </si>
  <si>
    <t>3-ДГ (мо)</t>
  </si>
  <si>
    <t>0615103</t>
  </si>
  <si>
    <t>10-ГА (срочная)</t>
  </si>
  <si>
    <t>0615139</t>
  </si>
  <si>
    <t>65-ЭТР (кв)</t>
  </si>
  <si>
    <t>0613043</t>
  </si>
  <si>
    <t>8-ВЭС(бункер)</t>
  </si>
  <si>
    <t>Скоробогатых Татьяна Викторовна, т. 624, к. 509</t>
  </si>
  <si>
    <t>0610019</t>
  </si>
  <si>
    <t>1-ДАП</t>
  </si>
  <si>
    <t>Бикметов Игорь Ильгизович, т. 538, к. 438</t>
  </si>
  <si>
    <t>0601018</t>
  </si>
  <si>
    <t>1-ИП</t>
  </si>
  <si>
    <t>Курликовская Надежда Алексеевна, т. т. 511, к. 305</t>
  </si>
  <si>
    <t>0610001</t>
  </si>
  <si>
    <t>Жигулева А.А, т. 509, к. 429</t>
  </si>
  <si>
    <t>0610035</t>
  </si>
  <si>
    <t>1-натура-БМ</t>
  </si>
  <si>
    <t>Григорьянц Алена Николаевна, т. 506, к. 426</t>
  </si>
  <si>
    <t>0601009</t>
  </si>
  <si>
    <t>1-предприятие</t>
  </si>
  <si>
    <t>Чулочникова Н.А., т. 527, к. 431</t>
  </si>
  <si>
    <t>0608012</t>
  </si>
  <si>
    <t>1-СК</t>
  </si>
  <si>
    <t>Белоусова Элеонора Валерьевна, т. 715, к. 428</t>
  </si>
  <si>
    <t>0610086</t>
  </si>
  <si>
    <t>1-хо</t>
  </si>
  <si>
    <t>0610009</t>
  </si>
  <si>
    <t>1-кооператив</t>
  </si>
  <si>
    <t>Билалова Марина Геннадьевна, т. 507, к. 429</t>
  </si>
  <si>
    <t>0607080</t>
  </si>
  <si>
    <t>14-МЕТ (лом)</t>
  </si>
  <si>
    <t>Бычкова Анна Александровна, т. 626, к. 300</t>
  </si>
  <si>
    <t>0610087</t>
  </si>
  <si>
    <t>2-ХО</t>
  </si>
  <si>
    <t>0610036</t>
  </si>
  <si>
    <t>23-Н</t>
  </si>
  <si>
    <t>0606028</t>
  </si>
  <si>
    <t>П-4 (НЗ)</t>
  </si>
  <si>
    <t>Суркова Е.А., т. 420, к. 304</t>
  </si>
  <si>
    <t>0608028</t>
  </si>
  <si>
    <t>1-СОНКО</t>
  </si>
  <si>
    <t>0608034</t>
  </si>
  <si>
    <t>1-СОНКО(Р)</t>
  </si>
  <si>
    <t>Рудакова Анастасия Валерьевна, т. 723, к. 525</t>
  </si>
  <si>
    <t>0608011</t>
  </si>
  <si>
    <t>12-Ф</t>
  </si>
  <si>
    <t>Поварова Анна Олеговна, т. 709, к. 504</t>
  </si>
  <si>
    <t>0603023</t>
  </si>
  <si>
    <t>2-соцподдержка</t>
  </si>
  <si>
    <t>Антонова Надежда Андреевна, т. 2-86/IP 713, к. 504</t>
  </si>
  <si>
    <t>0603027</t>
  </si>
  <si>
    <t>3-соцподдержка</t>
  </si>
  <si>
    <t>0608026</t>
  </si>
  <si>
    <t>№3-кооператив</t>
  </si>
  <si>
    <t>0608003</t>
  </si>
  <si>
    <t>П-3</t>
  </si>
  <si>
    <t>Лагунова Ирина Иосифовна, т. 2-86/701, к. 504</t>
  </si>
  <si>
    <t>0608020</t>
  </si>
  <si>
    <t>Усынина Екатерина Валерьевна, т. 371-02-35 д.707, к. 525</t>
  </si>
  <si>
    <t>0608035</t>
  </si>
  <si>
    <t>ДАФЛ</t>
  </si>
  <si>
    <t>Страхова Людмила Евгеньевна, т. 710, к. 432</t>
  </si>
  <si>
    <t>0601024</t>
  </si>
  <si>
    <t>МП(микро)-натура</t>
  </si>
  <si>
    <t>0601016</t>
  </si>
  <si>
    <t>МП(микро)</t>
  </si>
  <si>
    <t>Меньщикова Галина Николаевна, т. 515, к. 302</t>
  </si>
  <si>
    <t>0610013</t>
  </si>
  <si>
    <t>П-1</t>
  </si>
  <si>
    <t>Пузакова Марина Владимировна, т. 315, к. 307</t>
  </si>
  <si>
    <t>0601013</t>
  </si>
  <si>
    <t>№ПМ</t>
  </si>
  <si>
    <t>Полиенко Оксана Ивановна, т. т. 522, к. к. 303</t>
  </si>
  <si>
    <t>0610010</t>
  </si>
  <si>
    <t>Сушкова И.В., т. 525, к. 429</t>
  </si>
  <si>
    <t>0614008</t>
  </si>
  <si>
    <t>ПМ-торг</t>
  </si>
  <si>
    <t>0610054</t>
  </si>
  <si>
    <t>Билалова М.Г., т. 507, к. 429</t>
  </si>
  <si>
    <t>0606009</t>
  </si>
  <si>
    <t>1-ПР</t>
  </si>
  <si>
    <t>Дёмина О.Л., т. 414, к. 301</t>
  </si>
  <si>
    <t>0602001</t>
  </si>
  <si>
    <t>Покало Марина Владимировна, т. 356, к. 301б</t>
  </si>
  <si>
    <t>0601011</t>
  </si>
  <si>
    <t>2-МП инновация</t>
  </si>
  <si>
    <t>0607002</t>
  </si>
  <si>
    <t>1-конъюнктура (опт)</t>
  </si>
  <si>
    <t>Камалова Наталья Вячеславовна, т. 622, к. 300</t>
  </si>
  <si>
    <t>0602004</t>
  </si>
  <si>
    <t>11- НА</t>
  </si>
  <si>
    <t>Колбина Ольга Викторовна, т. 358, к. 301б</t>
  </si>
  <si>
    <t>0606010</t>
  </si>
  <si>
    <t>П-4</t>
  </si>
  <si>
    <t>Дьяконова Светлана Аркадьевна, т. 417, к. 301</t>
  </si>
  <si>
    <t>0602002</t>
  </si>
  <si>
    <t>11 (краткая)</t>
  </si>
  <si>
    <t>0602003</t>
  </si>
  <si>
    <t>11 (сделка)</t>
  </si>
  <si>
    <t>Ивлева Елена Викторовна, т. 352, к. 301а</t>
  </si>
  <si>
    <t>0604012</t>
  </si>
  <si>
    <t>2-наука (краткая)</t>
  </si>
  <si>
    <t>0611020</t>
  </si>
  <si>
    <t>4-кооператив</t>
  </si>
  <si>
    <t>Карпова Т.Н., т. 856, 2-10, к. 517</t>
  </si>
  <si>
    <t>Красикова Анастасия Сергеевна, т. 371-04-60(доб.419), к. 510</t>
  </si>
  <si>
    <t>0609565</t>
  </si>
  <si>
    <t>1-ДОД</t>
  </si>
  <si>
    <t>Панова К.В., т. 371-04-60(доб.416), 2-55, к. к.301</t>
  </si>
  <si>
    <t>0609508</t>
  </si>
  <si>
    <t>1-ОЛ</t>
  </si>
  <si>
    <t>Порошина Дарья Алексеевна, т. 406, к. 513</t>
  </si>
  <si>
    <t>0606004</t>
  </si>
  <si>
    <t>1-Т (условия труда)</t>
  </si>
  <si>
    <t>Миронова Мария Львовна, т. 371-04-60 (426), 3-38, к. к.301</t>
  </si>
  <si>
    <t>0606002</t>
  </si>
  <si>
    <t>1-Т</t>
  </si>
  <si>
    <t>Велижанина Наталья Владимировна, т. 371-04-60 д. 410, к. 304</t>
  </si>
  <si>
    <t>0607017</t>
  </si>
  <si>
    <t>Осинцева Светлана Александровна, т. 2-24, к. 300</t>
  </si>
  <si>
    <t>0609302</t>
  </si>
  <si>
    <t>1-здрав</t>
  </si>
  <si>
    <t>Симонова Ольга Олеговна, т. 452, к. 410</t>
  </si>
  <si>
    <t>0604041</t>
  </si>
  <si>
    <t>1-робототехника</t>
  </si>
  <si>
    <t>0604016</t>
  </si>
  <si>
    <t>1-Технология</t>
  </si>
  <si>
    <t>Ефремова Ирина Анатольевна, т. 408, 2-18, к. 513</t>
  </si>
  <si>
    <t>0604023</t>
  </si>
  <si>
    <t>2-МП наука</t>
  </si>
  <si>
    <t>Крутяева Татьяна Владимировна, т. 401, к. 512</t>
  </si>
  <si>
    <t>0604011</t>
  </si>
  <si>
    <t>2-наука</t>
  </si>
  <si>
    <t>0607065</t>
  </si>
  <si>
    <t>0604024</t>
  </si>
  <si>
    <t>3-информ (МП)</t>
  </si>
  <si>
    <t>0604018</t>
  </si>
  <si>
    <t>3-информ</t>
  </si>
  <si>
    <t>Панова Ксения Викторовна, т. 371-04-60 (доб. 416), 2-55, к. к. 301</t>
  </si>
  <si>
    <t>0610068</t>
  </si>
  <si>
    <t>№4-ТЭР</t>
  </si>
  <si>
    <t>Новикова Ирина Алексеевна, т. 3-63, 607, к. 300</t>
  </si>
  <si>
    <t>0609304</t>
  </si>
  <si>
    <t>7-травматизм</t>
  </si>
  <si>
    <t>Мугинова Елена Владимировна, т. 450, к. 410</t>
  </si>
  <si>
    <t>0609506</t>
  </si>
  <si>
    <t>85-К</t>
  </si>
  <si>
    <t>Хромова Т.Ю., т. 371-04-60(доб.403), к. к.511</t>
  </si>
  <si>
    <t>0601023</t>
  </si>
  <si>
    <t>Приложение к форме № 1-МО</t>
  </si>
  <si>
    <t>Волохова Е.А., т. 371-13-00 доб. 254, к. 423</t>
  </si>
  <si>
    <t>0601022</t>
  </si>
  <si>
    <t>Форма № 1-МО</t>
  </si>
  <si>
    <t>0612001</t>
  </si>
  <si>
    <t>форма № ДАС</t>
  </si>
  <si>
    <t>0609045</t>
  </si>
  <si>
    <t>12-ЛХ</t>
  </si>
  <si>
    <t>Игумнова Инна Аркадьевна, т. 2-30, 858, к. 519</t>
  </si>
  <si>
    <t>0611022</t>
  </si>
  <si>
    <t>Приложение к форме № 21-СХ</t>
  </si>
  <si>
    <t>Рукавишникова Екатерина Ивановна, т. 2-10, 854, к. 517</t>
  </si>
  <si>
    <t>0609040</t>
  </si>
  <si>
    <t>1-ЛХ</t>
  </si>
  <si>
    <t>0609006</t>
  </si>
  <si>
    <t>1-ООПТ</t>
  </si>
  <si>
    <t>Кузнецова Екатерина Александровна, т. 2-30, 860, к. 519</t>
  </si>
  <si>
    <t>0611001</t>
  </si>
  <si>
    <t>1-фермер</t>
  </si>
  <si>
    <t>Петрова Оксана Олеговна, т. 2-30, 852, к. 519</t>
  </si>
  <si>
    <t>0611014</t>
  </si>
  <si>
    <t>10-МЕХ</t>
  </si>
  <si>
    <t>Корнишина Дарья Андреевна, т. 2-30, 859, к. 519</t>
  </si>
  <si>
    <t>0611004</t>
  </si>
  <si>
    <t>Форма №1-СХ (баланс)-срочная</t>
  </si>
  <si>
    <t>Маргамова Рамзия Рамзавиевна, т. 2-10, 857, к. 517</t>
  </si>
  <si>
    <t>0609017</t>
  </si>
  <si>
    <t>2-ТП (охота)</t>
  </si>
  <si>
    <t>Кузнецова Екатерина Александровна, т. 860, к. 519</t>
  </si>
  <si>
    <t>0611002</t>
  </si>
  <si>
    <t>2-фермер КФХиИП</t>
  </si>
  <si>
    <t>2-фермер малые</t>
  </si>
  <si>
    <t>0611021</t>
  </si>
  <si>
    <t>Форма № 21-СХ</t>
  </si>
  <si>
    <t>0611009</t>
  </si>
  <si>
    <t>Форма № 24-СХ</t>
  </si>
  <si>
    <t>Шаяхметова Раиса Ахуновна, т. 2-10, 853, к. 517</t>
  </si>
  <si>
    <t>0611010</t>
  </si>
  <si>
    <t>29-СХ</t>
  </si>
  <si>
    <t>0611016</t>
  </si>
  <si>
    <t>3-фермер (МП)</t>
  </si>
  <si>
    <t>Забровская И.А., т. 2-10, 855, к. 517</t>
  </si>
  <si>
    <t>0611006</t>
  </si>
  <si>
    <t>3-фермер (микро)</t>
  </si>
  <si>
    <t>3-фермер (КФХ и ИП)</t>
  </si>
  <si>
    <t>0609030</t>
  </si>
  <si>
    <t>4-ОС</t>
  </si>
  <si>
    <t>Тотикиди Евгения Владмировна, т. 2-30, к. 519</t>
  </si>
  <si>
    <t>0611015</t>
  </si>
  <si>
    <t>4-СХ</t>
  </si>
  <si>
    <t>0611005</t>
  </si>
  <si>
    <t>5-СБ</t>
  </si>
  <si>
    <t>Карпушина Анастсасия Сергеевна, т. 2-21, 851, к. 521</t>
  </si>
  <si>
    <t>0611003</t>
  </si>
  <si>
    <t>9-СХ</t>
  </si>
  <si>
    <t>0611012</t>
  </si>
  <si>
    <t>Форма № П-1 (СХ)</t>
  </si>
  <si>
    <t>0611026</t>
  </si>
  <si>
    <t>Приложение к форме №14</t>
  </si>
  <si>
    <t>0608014</t>
  </si>
  <si>
    <t>5-З</t>
  </si>
  <si>
    <t>Челпанова Надежда Юрьевна, т. 815, к. 436</t>
  </si>
  <si>
    <t>0617002</t>
  </si>
  <si>
    <t>ИАП</t>
  </si>
  <si>
    <t>Реутова Инна Александровна, т. 811, к. 434</t>
  </si>
  <si>
    <t>0617004</t>
  </si>
  <si>
    <t>П-2</t>
  </si>
  <si>
    <t>Суэр Марина Леонидовна, т. 812, к. 434</t>
  </si>
  <si>
    <t>0617008</t>
  </si>
  <si>
    <t>18-КС</t>
  </si>
  <si>
    <t>0617010</t>
  </si>
  <si>
    <t>П-2 (инвест)</t>
  </si>
  <si>
    <t>0617017</t>
  </si>
  <si>
    <t>Приложение к форме № П-2 (инвест)</t>
  </si>
  <si>
    <t>Козловская Светлана Анатольевна, т. 802, к. 434</t>
  </si>
  <si>
    <t>0609707</t>
  </si>
  <si>
    <t>П(услуги)</t>
  </si>
  <si>
    <t>Вигура Эльвера Шакуровна, т. 601, к. 401</t>
  </si>
  <si>
    <t>0612008</t>
  </si>
  <si>
    <t>С-1</t>
  </si>
  <si>
    <t>Фунтусова Светлана Валентиновна, т. 371-03-28(доб.809), к. 430</t>
  </si>
  <si>
    <t>ОКУД
формы</t>
  </si>
  <si>
    <t>ЦСОД/
СТАТЭК</t>
  </si>
  <si>
    <t>Краткое наименование</t>
  </si>
  <si>
    <t>Специалист отраслевого отдела
№ телефона, кабинет</t>
  </si>
  <si>
    <t>Администратор БД от ОИРиТ
№ телефона, кабинет</t>
  </si>
  <si>
    <t>01012024</t>
  </si>
  <si>
    <t>01.04.2025</t>
  </si>
  <si>
    <t>26.05.2025</t>
  </si>
  <si>
    <t>январь 2025</t>
  </si>
  <si>
    <t>12012025</t>
  </si>
  <si>
    <t>31.01.2025</t>
  </si>
  <si>
    <t>04.02.2025</t>
  </si>
  <si>
    <t>февраль 2025</t>
  </si>
  <si>
    <t>12022025</t>
  </si>
  <si>
    <t>28.02.2025</t>
  </si>
  <si>
    <t>04.03.2025</t>
  </si>
  <si>
    <t>март 2025</t>
  </si>
  <si>
    <t>12032025</t>
  </si>
  <si>
    <t>31.03.2025</t>
  </si>
  <si>
    <t>02.04.2025</t>
  </si>
  <si>
    <t>апрель 2025</t>
  </si>
  <si>
    <t>12042025</t>
  </si>
  <si>
    <t>30.04.2025</t>
  </si>
  <si>
    <t>06.05.2025</t>
  </si>
  <si>
    <t>май 2025</t>
  </si>
  <si>
    <t>12052025</t>
  </si>
  <si>
    <t>30.05.2025</t>
  </si>
  <si>
    <t>03.06.2025</t>
  </si>
  <si>
    <t>июнь 2025</t>
  </si>
  <si>
    <t>12062025</t>
  </si>
  <si>
    <t>30.06.2025</t>
  </si>
  <si>
    <t>02.07.2025</t>
  </si>
  <si>
    <t>июль 2025</t>
  </si>
  <si>
    <t>12072025</t>
  </si>
  <si>
    <t>31.07.2025</t>
  </si>
  <si>
    <t>04.08.2025</t>
  </si>
  <si>
    <t>август 2025</t>
  </si>
  <si>
    <t>12082025</t>
  </si>
  <si>
    <t>29.08.2025</t>
  </si>
  <si>
    <t>02.09.2025</t>
  </si>
  <si>
    <t>сентябрь 2025</t>
  </si>
  <si>
    <t>12092025</t>
  </si>
  <si>
    <t>30.09.2025</t>
  </si>
  <si>
    <t>02.10.2025</t>
  </si>
  <si>
    <t>октябрь 2025</t>
  </si>
  <si>
    <t>12102025</t>
  </si>
  <si>
    <t>31.10.2025</t>
  </si>
  <si>
    <t>05.11.2025</t>
  </si>
  <si>
    <t>ноябрь 2025</t>
  </si>
  <si>
    <t>12112025</t>
  </si>
  <si>
    <t>28.11.2025</t>
  </si>
  <si>
    <t>02.12.2025</t>
  </si>
  <si>
    <t>декабрь 2025</t>
  </si>
  <si>
    <t>12122025</t>
  </si>
  <si>
    <t>30.12.2025</t>
  </si>
  <si>
    <t>12.01.2026</t>
  </si>
  <si>
    <t>01012025</t>
  </si>
  <si>
    <t>28.04.2025</t>
  </si>
  <si>
    <t>10.06.2025</t>
  </si>
  <si>
    <t>1 квартал 2025</t>
  </si>
  <si>
    <t>04012025</t>
  </si>
  <si>
    <t>24.04.2025</t>
  </si>
  <si>
    <t>2 квартал 2025</t>
  </si>
  <si>
    <t>04022025</t>
  </si>
  <si>
    <t>24.07.2025</t>
  </si>
  <si>
    <t>3 квартал 2025</t>
  </si>
  <si>
    <t>04032025</t>
  </si>
  <si>
    <t>29.09.2025</t>
  </si>
  <si>
    <t>24.10.2025</t>
  </si>
  <si>
    <t>4 квартал 2025</t>
  </si>
  <si>
    <t>04042025</t>
  </si>
  <si>
    <t>29.12.2025</t>
  </si>
  <si>
    <t>30.01.2026</t>
  </si>
  <si>
    <t>05.02.2025</t>
  </si>
  <si>
    <t>14.04.2025</t>
  </si>
  <si>
    <t>09.01.2025</t>
  </si>
  <si>
    <t>13.02.2025</t>
  </si>
  <si>
    <t>15.01.2025</t>
  </si>
  <si>
    <t>05.03.2025</t>
  </si>
  <si>
    <t>14.01.2025</t>
  </si>
  <si>
    <t>27.03.2025</t>
  </si>
  <si>
    <t>17.03.2025</t>
  </si>
  <si>
    <t>26.03.2025</t>
  </si>
  <si>
    <t>29.01.2025</t>
  </si>
  <si>
    <t>26.02.2025</t>
  </si>
  <si>
    <t>28.05.2025</t>
  </si>
  <si>
    <t>27.06.2025</t>
  </si>
  <si>
    <t>28.07.2025</t>
  </si>
  <si>
    <t>28.08.2025</t>
  </si>
  <si>
    <t>26.09.2025</t>
  </si>
  <si>
    <t>29.10.2025</t>
  </si>
  <si>
    <t>06.11.2025</t>
  </si>
  <si>
    <t>27.11.2025</t>
  </si>
  <si>
    <t>26.12.2025</t>
  </si>
  <si>
    <t>09.01.2026</t>
  </si>
  <si>
    <t>29.05.2025</t>
  </si>
  <si>
    <t>01.07.2025</t>
  </si>
  <si>
    <t>22.08.2025</t>
  </si>
  <si>
    <t>01.10.2025</t>
  </si>
  <si>
    <t>25.11.2025</t>
  </si>
  <si>
    <t>01.01.2026</t>
  </si>
  <si>
    <t>18.03.2026</t>
  </si>
  <si>
    <t>27.05.2025</t>
  </si>
  <si>
    <t>20.08.2025</t>
  </si>
  <si>
    <t>21.11.2025</t>
  </si>
  <si>
    <t>16.03.2026</t>
  </si>
  <si>
    <t>21.03.2025</t>
  </si>
  <si>
    <t>20.03.2025</t>
  </si>
  <si>
    <t>14.03.2025</t>
  </si>
  <si>
    <t>06.02.2026</t>
  </si>
  <si>
    <t>11.02.2025</t>
  </si>
  <si>
    <t>11.03.2025</t>
  </si>
  <si>
    <t>09.04.2025</t>
  </si>
  <si>
    <t>15.05.2025</t>
  </si>
  <si>
    <t>09.07.2025</t>
  </si>
  <si>
    <t>11.08.2025</t>
  </si>
  <si>
    <t>09.09.2025</t>
  </si>
  <si>
    <t>09.10.2025</t>
  </si>
  <si>
    <t>12.11.2025</t>
  </si>
  <si>
    <t>09.12.2025</t>
  </si>
  <si>
    <t>16.01.2026</t>
  </si>
  <si>
    <t>30.01.2025</t>
  </si>
  <si>
    <t>03.02.2025</t>
  </si>
  <si>
    <t>14.02.2025</t>
  </si>
  <si>
    <t>15.04.2025</t>
  </si>
  <si>
    <t>16.06.2025</t>
  </si>
  <si>
    <t>15.07.2025</t>
  </si>
  <si>
    <t>15.08.2025</t>
  </si>
  <si>
    <t>15.09.2025</t>
  </si>
  <si>
    <t>15.10.2025</t>
  </si>
  <si>
    <t>31.10.2024</t>
  </si>
  <si>
    <t>14.11.2025</t>
  </si>
  <si>
    <t>15.12.2025</t>
  </si>
  <si>
    <t>12.02.2025</t>
  </si>
  <si>
    <t>10.04.2025</t>
  </si>
  <si>
    <t>24.01.2025</t>
  </si>
  <si>
    <t>18.02.2025</t>
  </si>
  <si>
    <t>25.02.2025</t>
  </si>
  <si>
    <t>18.03.2025</t>
  </si>
  <si>
    <t>25.03.2025</t>
  </si>
  <si>
    <t>16.04.2025</t>
  </si>
  <si>
    <t>25.04.2025</t>
  </si>
  <si>
    <t>16.05.2025</t>
  </si>
  <si>
    <t>23.05.2025</t>
  </si>
  <si>
    <t>18.06.2025</t>
  </si>
  <si>
    <t>25.06.2025</t>
  </si>
  <si>
    <t>17.07.2025</t>
  </si>
  <si>
    <t>25.07.2025</t>
  </si>
  <si>
    <t>18.08.2025</t>
  </si>
  <si>
    <t>25.08.2025</t>
  </si>
  <si>
    <t>18.09.2025</t>
  </si>
  <si>
    <t>25.09.2025</t>
  </si>
  <si>
    <t>16.10.2025</t>
  </si>
  <si>
    <t>18.11.2025</t>
  </si>
  <si>
    <t>18.12.2025</t>
  </si>
  <si>
    <t>25.12.2025</t>
  </si>
  <si>
    <t>10.01.2025</t>
  </si>
  <si>
    <t>27.02.2025</t>
  </si>
  <si>
    <t>12.03.2025</t>
  </si>
  <si>
    <t>28.03.2025</t>
  </si>
  <si>
    <t>11.04.2025</t>
  </si>
  <si>
    <t>29.04.2025</t>
  </si>
  <si>
    <t>12.05.2025</t>
  </si>
  <si>
    <t>11.06.2025</t>
  </si>
  <si>
    <t>11.07.2025</t>
  </si>
  <si>
    <t>30.07.2025</t>
  </si>
  <si>
    <t>12.08.2025</t>
  </si>
  <si>
    <t>12.09.2025</t>
  </si>
  <si>
    <t>13.10.2025</t>
  </si>
  <si>
    <t>30.10.2025</t>
  </si>
  <si>
    <t>12.12.2025</t>
  </si>
  <si>
    <t>23.04.2025</t>
  </si>
  <si>
    <t>23.07.2025</t>
  </si>
  <si>
    <t>11.09.2025</t>
  </si>
  <si>
    <t>23.09.2025</t>
  </si>
  <si>
    <t>23.10.2025</t>
  </si>
  <si>
    <t>11.12.2025</t>
  </si>
  <si>
    <t>23.12.2025</t>
  </si>
  <si>
    <t>17.06.2025</t>
  </si>
  <si>
    <t>17.09.2025</t>
  </si>
  <si>
    <t>24.09.2025</t>
  </si>
  <si>
    <t>17.12.2025</t>
  </si>
  <si>
    <t>24.12.2025</t>
  </si>
  <si>
    <t>04.04.2025</t>
  </si>
  <si>
    <t>20.06.2025</t>
  </si>
  <si>
    <t>04.07.2025</t>
  </si>
  <si>
    <t>22.09.2025</t>
  </si>
  <si>
    <t>06.10.2025</t>
  </si>
  <si>
    <t>14.01.2026</t>
  </si>
  <si>
    <t>16.01.2025</t>
  </si>
  <si>
    <t>26.06.2025</t>
  </si>
  <si>
    <t>16.07.2025</t>
  </si>
  <si>
    <t>29.07.2025</t>
  </si>
  <si>
    <t>14.08.2025</t>
  </si>
  <si>
    <t>27.08.2025</t>
  </si>
  <si>
    <t>16.09.2025</t>
  </si>
  <si>
    <t>26.11.2025</t>
  </si>
  <si>
    <t>16.12.2025</t>
  </si>
  <si>
    <t>17.02.2025</t>
  </si>
  <si>
    <t>19.03.2025</t>
  </si>
  <si>
    <t>27.10.2025</t>
  </si>
  <si>
    <t>19.11.2025</t>
  </si>
  <si>
    <t>06.02.2025</t>
  </si>
  <si>
    <t>06.03.2025</t>
  </si>
  <si>
    <t>07.04.2025</t>
  </si>
  <si>
    <t>19.05.2025</t>
  </si>
  <si>
    <t>06.06.2025</t>
  </si>
  <si>
    <t>19.06.2025</t>
  </si>
  <si>
    <t>07.07.2025</t>
  </si>
  <si>
    <t>18.07.2025</t>
  </si>
  <si>
    <t>06.08.2025</t>
  </si>
  <si>
    <t>05.09.2025</t>
  </si>
  <si>
    <t>05.12.2025</t>
  </si>
  <si>
    <t>07.10.2025</t>
  </si>
  <si>
    <t>28.10.2025</t>
  </si>
  <si>
    <t>01.11.2025</t>
  </si>
  <si>
    <t>05.05.2025</t>
  </si>
  <si>
    <t>03.11.2025</t>
  </si>
  <si>
    <t>13.03.2025</t>
  </si>
  <si>
    <t>13.08.2025</t>
  </si>
  <si>
    <t>01.09.2025</t>
  </si>
  <si>
    <t>01.12.2025</t>
  </si>
  <si>
    <t>21.01.2026</t>
  </si>
  <si>
    <t>21.02.2025</t>
  </si>
  <si>
    <t>20.02.2025</t>
  </si>
  <si>
    <t>05.08.2025</t>
  </si>
  <si>
    <t>20.11.2025</t>
  </si>
  <si>
    <t>28.12.2024</t>
  </si>
  <si>
    <t>14.07.2025</t>
  </si>
  <si>
    <t>14.10.2025</t>
  </si>
  <si>
    <t>08.01.2026</t>
  </si>
  <si>
    <t>22.01.2026</t>
  </si>
  <si>
    <t>01.02.2025</t>
  </si>
  <si>
    <t>07.02.2025</t>
  </si>
  <si>
    <t>01.03.2025</t>
  </si>
  <si>
    <t>07.03.2025</t>
  </si>
  <si>
    <t>01.05.2025</t>
  </si>
  <si>
    <t>02.06.2025</t>
  </si>
  <si>
    <t>09.06.2025</t>
  </si>
  <si>
    <t>08.07.2025</t>
  </si>
  <si>
    <t>01.08.2025</t>
  </si>
  <si>
    <t>08.08.2025</t>
  </si>
  <si>
    <t>08.09.2025</t>
  </si>
  <si>
    <t>08.10.2025</t>
  </si>
  <si>
    <t>07.11.2025</t>
  </si>
  <si>
    <t>08.12.2025</t>
  </si>
  <si>
    <t>15.01.2026</t>
  </si>
  <si>
    <t>24.03.2025</t>
  </si>
  <si>
    <t>2024 год</t>
  </si>
  <si>
    <t>24.02.2025</t>
  </si>
  <si>
    <t>18.04.2025</t>
  </si>
  <si>
    <t>05.10.2025</t>
  </si>
  <si>
    <t>20.10.2025</t>
  </si>
  <si>
    <t>05.01.2026</t>
  </si>
  <si>
    <t>28.01.2026</t>
  </si>
  <si>
    <t>25.01.2025</t>
  </si>
  <si>
    <t>05.04.2025</t>
  </si>
  <si>
    <t>05.07.2025</t>
  </si>
  <si>
    <t>18.05.2025</t>
  </si>
  <si>
    <t>01.06.2025</t>
  </si>
  <si>
    <t>15.06.2025</t>
  </si>
  <si>
    <t>10.07.2025</t>
  </si>
  <si>
    <t>10.09.2025</t>
  </si>
  <si>
    <t>12.10.2025</t>
  </si>
  <si>
    <t>13.11.2025</t>
  </si>
  <si>
    <t>10.12.2025</t>
  </si>
  <si>
    <t>01.01.2025</t>
  </si>
  <si>
    <t>13.04.2025</t>
  </si>
  <si>
    <t>13.07.2025</t>
  </si>
  <si>
    <t>16.11.2025</t>
  </si>
  <si>
    <t>26.01.2026</t>
  </si>
  <si>
    <t>10.02.2025</t>
  </si>
  <si>
    <t>10.03.2025</t>
  </si>
  <si>
    <t>08.04.2025</t>
  </si>
  <si>
    <t>14.05.2025</t>
  </si>
  <si>
    <t>08.10.2024</t>
  </si>
  <si>
    <t>11.11.2024</t>
  </si>
  <si>
    <t>08.12.2024</t>
  </si>
  <si>
    <t>19.01.2026</t>
  </si>
  <si>
    <t>22.01.2025</t>
  </si>
  <si>
    <t>20.05.2025</t>
  </si>
  <si>
    <t>17.11.2025</t>
  </si>
  <si>
    <t>19.02.2025</t>
  </si>
  <si>
    <t>03.03.2025</t>
  </si>
  <si>
    <t>17.04.2025</t>
  </si>
  <si>
    <t>01.07.2024</t>
  </si>
  <si>
    <t>19.08.2025</t>
  </si>
  <si>
    <t>17.10.2025</t>
  </si>
  <si>
    <t>27.01.2026</t>
  </si>
  <si>
    <t>11.11.2025</t>
  </si>
  <si>
    <t>15.04.2026</t>
  </si>
  <si>
    <t>27.01.2025</t>
  </si>
  <si>
    <t>13.01.2025</t>
  </si>
  <si>
    <t>29.03.2025</t>
  </si>
  <si>
    <t>28.06.2025</t>
  </si>
  <si>
    <t>27.09.2025</t>
  </si>
  <si>
    <t>27.12.2025</t>
  </si>
  <si>
    <t>23.01.2026</t>
  </si>
  <si>
    <t>15.02.2025</t>
  </si>
  <si>
    <t>1 полугодие 2025</t>
  </si>
  <si>
    <t>02012025</t>
  </si>
  <si>
    <t>21.07.2025</t>
  </si>
  <si>
    <t>2 полугодие 2025</t>
  </si>
  <si>
    <t>02022025</t>
  </si>
  <si>
    <t>02.02.2026</t>
  </si>
  <si>
    <t>17.02.2026</t>
  </si>
  <si>
    <t>02.01.2025</t>
  </si>
  <si>
    <t>07.08.2025</t>
  </si>
  <si>
    <t>10.11.2025</t>
  </si>
  <si>
    <t>22.05.2025</t>
  </si>
  <si>
    <t>13.02.2026</t>
  </si>
  <si>
    <t>21.05.2025</t>
  </si>
  <si>
    <t> 2025</t>
  </si>
  <si>
    <t>26.08.2025</t>
  </si>
  <si>
    <t>25.02.2026</t>
  </si>
  <si>
    <t>11.01.2025</t>
  </si>
  <si>
    <t>21.04.2025</t>
  </si>
  <si>
    <t>26.12.2024</t>
  </si>
  <si>
    <t>20.01.2025</t>
  </si>
  <si>
    <t>2025 год</t>
  </si>
  <si>
    <t>13.01.2026</t>
  </si>
  <si>
    <t>23.12.2024</t>
  </si>
  <si>
    <t>23.01.2025</t>
  </si>
  <si>
    <t>03.04.2025</t>
  </si>
  <si>
    <t>07.05.2025</t>
  </si>
  <si>
    <t>04.06.2025</t>
  </si>
  <si>
    <t>03.07.2025</t>
  </si>
  <si>
    <t>03.09.2025</t>
  </si>
  <si>
    <t>03.10.2025</t>
  </si>
  <si>
    <t>03.12.2025</t>
  </si>
  <si>
    <t>22.10.2025</t>
  </si>
  <si>
    <t>4 квартал 2024</t>
  </si>
  <si>
    <t>04042024</t>
  </si>
  <si>
    <t>Полное ведение (ПВ) /
Курирование</t>
  </si>
  <si>
    <t>Отчетный период - за</t>
  </si>
  <si>
    <t>код отчётного
периода</t>
  </si>
  <si>
    <t>ОКУД+Код
(формула)</t>
  </si>
  <si>
    <t>Отчетная дата
(по бланку)</t>
  </si>
  <si>
    <t>Период загрузки
отчетов (от)</t>
  </si>
  <si>
    <t>Период загрузки
отчетов (до)</t>
  </si>
  <si>
    <t>Примечание</t>
  </si>
  <si>
    <t>ОКУД</t>
  </si>
  <si>
    <t>Индекс формы</t>
  </si>
  <si>
    <t>Наименование формы</t>
  </si>
  <si>
    <t>Отчётный период</t>
  </si>
  <si>
    <t>Дата получения каталога со статусом "Итоговый" в АС ГС ОФСН</t>
  </si>
  <si>
    <t>Дата перевода каталога в "Архивный" статус</t>
  </si>
  <si>
    <t>0606007</t>
  </si>
  <si>
    <t>57-Т</t>
  </si>
  <si>
    <t>Сведения о заработной плате работников по профессиям и должностям</t>
  </si>
  <si>
    <t>годовые</t>
  </si>
  <si>
    <t>с 1 ноября по 30 ноября после отчетного  периода</t>
  </si>
  <si>
    <t>Сведения о распределении численности работников по размерам начисленной заработной платы</t>
  </si>
  <si>
    <t>не позднее 21.04.2025</t>
  </si>
  <si>
    <t>с 1-го рабочего дня по 20 мая после отчетного периода</t>
  </si>
  <si>
    <t>Основные сведения о деятельности организации</t>
  </si>
  <si>
    <t>С 1 марта по 15 апреля 2025 года</t>
  </si>
  <si>
    <t>1-МО</t>
  </si>
  <si>
    <t>Сведения об объектах инфраструктуры муниципального образования</t>
  </si>
  <si>
    <t>не позднее 28.12.2024</t>
  </si>
  <si>
    <t xml:space="preserve">с 20 апреля по 1 июня 
после отчетного периода
</t>
  </si>
  <si>
    <t>Приложение к форме N 1-МО</t>
  </si>
  <si>
    <t>Показатели для оценки эффективности деятельности органов местного самоуправления муниципальных, городских округов и муниципальных районов</t>
  </si>
  <si>
    <t>с 1 апреля по 25 апреля после отчетного периода</t>
  </si>
  <si>
    <t>МП (микро) - натура</t>
  </si>
  <si>
    <t>Сведения о производстве продукции микропредприятием</t>
  </si>
  <si>
    <t xml:space="preserve">с 1-го официального 
рабочего дня января 
по 25 января
</t>
  </si>
  <si>
    <t>Сведения о наличии и движении основных фондов (средств) и других нефинансовых активов</t>
  </si>
  <si>
    <t>не позднее 13.02.2025</t>
  </si>
  <si>
    <t>с 15-го февраля по 1-е апреля после отчетного периода</t>
  </si>
  <si>
    <t>Сведения о наличии и движении основных фондов (средств) некоммерческих организаций</t>
  </si>
  <si>
    <t>Сведения о сделках с основными фондами на вторичном рынке и сдаче их в аренду</t>
  </si>
  <si>
    <t>не позднее 23.05.2025</t>
  </si>
  <si>
    <t xml:space="preserve">с 25-го мая по 1-е июля 
после отчетного периода
</t>
  </si>
  <si>
    <t>11-НА</t>
  </si>
  <si>
    <t>Сведения о наличии, движении и составе обращающихся контрактов, договоров аренды, лицензий, маркетинговых активов и гудвилла (деловой репутации организации</t>
  </si>
  <si>
    <t xml:space="preserve">с 25-го мая по 30-е июня 
после отчетного периода
</t>
  </si>
  <si>
    <t>0603026</t>
  </si>
  <si>
    <t>1-соцвыплаты</t>
  </si>
  <si>
    <t>Сведения об объемах социальных выплат населению по муниципальным районам (городским округам)</t>
  </si>
  <si>
    <t>1 сентября</t>
  </si>
  <si>
    <t>Сведения о реализации мер социальной поддержки отдельных категорий граждан за счет средств консолидированного бюджета субъекта Российской Федерации</t>
  </si>
  <si>
    <t>не позднее 13.12.2024</t>
  </si>
  <si>
    <t>с 1-го рабочего дня января по 10 февраля
после отчетного периода</t>
  </si>
  <si>
    <t>Сведения  о выполнении научных исследований и разработок</t>
  </si>
  <si>
    <t>не позднее 14.02.2025</t>
  </si>
  <si>
    <t>со 2 по 11 апреля после отчетного периода</t>
  </si>
  <si>
    <t>1-технология</t>
  </si>
  <si>
    <t>Сведения о разработке и (или) использовании передовых производственных технологий</t>
  </si>
  <si>
    <t>не позднее 27.12.2024</t>
  </si>
  <si>
    <t>с 13 января 
по 31 января 
после отчетного периода</t>
  </si>
  <si>
    <t>4-инновация</t>
  </si>
  <si>
    <t>Сведения об инновационной деятельности организации</t>
  </si>
  <si>
    <t>не позднее 19.02.2025</t>
  </si>
  <si>
    <t>со 2 по 15 апреля</t>
  </si>
  <si>
    <t>Сведения об использовании цифровых технологий и производстве связанных с ними товаров и услуг</t>
  </si>
  <si>
    <t>с 15 марта 
по 1 апреля после отчетного периода</t>
  </si>
  <si>
    <t>Сведения об организации, осуществляющей образовательную деятельность по программам подготовки научно-педагогических кадров в аспирантуре, программам ординатуры, программам ассистентуры-стажировки, а также осуществляющей подготовку научных кадров в до</t>
  </si>
  <si>
    <t>не позднее 24.12.2024</t>
  </si>
  <si>
    <t>C 9 по 19 января после отчетного периода</t>
  </si>
  <si>
    <t>0605101</t>
  </si>
  <si>
    <t>1-АЭ</t>
  </si>
  <si>
    <t>Сведения об административных правонарушениях в сфере экономики</t>
  </si>
  <si>
    <t>с 15 февраля по 15 марта после отчетного периода</t>
  </si>
  <si>
    <t>Сведения о численности и заработной плате работников</t>
  </si>
  <si>
    <t>с 1-го рабочего дня по 31 января после отчетного периода</t>
  </si>
  <si>
    <t>Сведения о состоянии условий труда и компенсациях за работу с вредными и (или) опасными условиями труда</t>
  </si>
  <si>
    <t>не позднее 23.12.2024</t>
  </si>
  <si>
    <t>с 1-го рабочего дня по 21 января после отчетного периода</t>
  </si>
  <si>
    <t>1-Т(МС)</t>
  </si>
  <si>
    <t>Сведения о численности и фонде заработной платы, дополнительном профессиональном образовании,  муниципальных служащих</t>
  </si>
  <si>
    <t>не позднее  31.01.2025</t>
  </si>
  <si>
    <t>с 20-го рабочего дня по 1 марта после отчетного периода</t>
  </si>
  <si>
    <t>1-Т(ГС)</t>
  </si>
  <si>
    <t>Сведения о численности и фонде заработной платы, дополнительном профессиональном образовании,  государственных гражданских служащих</t>
  </si>
  <si>
    <t>2-кооператив</t>
  </si>
  <si>
    <t>Сведения о деятельности снабженческо-сбытовых сельскохозяйственных потребительских кооперативов</t>
  </si>
  <si>
    <t>с 14 по 25 января после отчетного периода</t>
  </si>
  <si>
    <t>Сведения об образовании и использовании лома черных и цветных металлов</t>
  </si>
  <si>
    <t>с 20 января по 1 февраля после отчетного периода</t>
  </si>
  <si>
    <t>Сведения об использовании денежных средств</t>
  </si>
  <si>
    <t>с 14 февраля по 1 апреля</t>
  </si>
  <si>
    <t>3-кооператив</t>
  </si>
  <si>
    <t>Сведения о деятельности  сельскохозяйственных кредитных потребительских кооперативов</t>
  </si>
  <si>
    <t>не позднее 20.12.2024</t>
  </si>
  <si>
    <t>с 1-го рабочего дня по 25-е число после отчетного периода</t>
  </si>
  <si>
    <t>Сведения о деятельности социально ориентированной некоммерческой организации</t>
  </si>
  <si>
    <t>с 15 февраля по 1 апреля после отчетного периода</t>
  </si>
  <si>
    <t>Сведения о деятельности религиозной организации</t>
  </si>
  <si>
    <t>Обследование деловой активности организации, осуществляющей деятельность в сфере финансового лизинга</t>
  </si>
  <si>
    <t xml:space="preserve">с 1-го рабочего дня января 
по 10 февраля после отчетного периода
</t>
  </si>
  <si>
    <t>Сведения о приватизации жилищного фонда</t>
  </si>
  <si>
    <t>с 1-го рабочего дня января по 20 января</t>
  </si>
  <si>
    <t>Сведения об особо охраняемых природных территориях</t>
  </si>
  <si>
    <t xml:space="preserve">с 1-го рабочего дня по 25 января
после отчетного периода
</t>
  </si>
  <si>
    <t>Сведения об охоте и охотничьем хозяйстве</t>
  </si>
  <si>
    <t>не позднее 01.02.2025</t>
  </si>
  <si>
    <t>с 4 февраля
по 21 марта после отчетного периода</t>
  </si>
  <si>
    <t>Сведения о текущих затратах на охрану окружающей среды</t>
  </si>
  <si>
    <t>с 1-го рабочего дня по 25 января после отчетного периода</t>
  </si>
  <si>
    <t>Сведения о воспроизводстве лесов и лесоразведении</t>
  </si>
  <si>
    <t>с 1-го рабочего дня по 18 января после отчетного периода</t>
  </si>
  <si>
    <t>Сведения о защите лесов</t>
  </si>
  <si>
    <t>с 1-го рабочего дня по 22 января после отчетного периода</t>
  </si>
  <si>
    <t>Сведения о жилищном фонде</t>
  </si>
  <si>
    <t xml:space="preserve">с 15 января
по 5 февраля
</t>
  </si>
  <si>
    <t>Сведения о приборах учета потребления коммунальных услуг в жилищном фонде</t>
  </si>
  <si>
    <t>с 20 января
по 1 марта</t>
  </si>
  <si>
    <t>Сведения о предоставлении гражданам жилых помещений</t>
  </si>
  <si>
    <t xml:space="preserve">с 1-го рабочего дня января по 15 февраля
</t>
  </si>
  <si>
    <t>Сведения о благоустройстве городских населенных пунктов</t>
  </si>
  <si>
    <t>не позднее 25.12.2024</t>
  </si>
  <si>
    <t>с 1-го рабочего дня января по 15 января</t>
  </si>
  <si>
    <t>Сведения о регистрации прав на жилые помещения</t>
  </si>
  <si>
    <t>с 14 января по 24 февраля</t>
  </si>
  <si>
    <t>Сведения о работе водопровода (отдельной водопроводной сети)</t>
  </si>
  <si>
    <t>с 1-го рабочего дня января по 22 января</t>
  </si>
  <si>
    <t>Сведения о работе канализации (отдельной канализационной сети)</t>
  </si>
  <si>
    <t>Сведения о снабжении теплоэнергией</t>
  </si>
  <si>
    <t>с 1-го рабочего дня января по 25 января
после отчетного периода</t>
  </si>
  <si>
    <t>Сведения об организации, оказывающей услуги по медицинской помощи</t>
  </si>
  <si>
    <t>не позднее 07.03.2025</t>
  </si>
  <si>
    <t>с 10 марта по 10 апреля после отчетного периода</t>
  </si>
  <si>
    <t>Сведения о травматизме на производстве и профессиональных заболеваниях</t>
  </si>
  <si>
    <t>не позднее 17.02.2025</t>
  </si>
  <si>
    <t>с 20 февраля по 1 марта</t>
  </si>
  <si>
    <t>Сведения о деятельности коллективного средства размещения</t>
  </si>
  <si>
    <t>с 1-го января по 1-е февраля
после отчетного периода 
(в случае сезонного функционирования  – по его окончании)</t>
  </si>
  <si>
    <t>Сведения об организации, осуществляющей деятельность по дополнительным общеобразовательным программам для детей</t>
  </si>
  <si>
    <t>с 9 по 31 января после отчетного периода</t>
  </si>
  <si>
    <t>Сведения о деятельности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</si>
  <si>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с 9 по  24 января после отчетного периода</t>
  </si>
  <si>
    <t>Сведения об отдыхе и оздоровлении детей в летний период</t>
  </si>
  <si>
    <t>не позднее  22.08.2025</t>
  </si>
  <si>
    <t>с 29 июля 
по 8 сентября отчетного периода</t>
  </si>
  <si>
    <t>Сведения о деятельности туристской фирмы</t>
  </si>
  <si>
    <t>с 1-го февраля по 1-е апреля
после отчетного периода</t>
  </si>
  <si>
    <t>Сведения о деятельности перерабатывающего сельскохозяйственного потребительского кооператива</t>
  </si>
  <si>
    <t>Сведения о производстве, отгрузке продукции и балансе производственных мощностей</t>
  </si>
  <si>
    <t xml:space="preserve">с 1-го официального 
рабочего дня января 
по 10 февраля
</t>
  </si>
  <si>
    <t>Сведения о производстве, передаче, распределении и потреблении электрической энергии</t>
  </si>
  <si>
    <t>с 1-го рабочего дня января по 1 февраля
после отчетного периода</t>
  </si>
  <si>
    <t>4-ТЭР</t>
  </si>
  <si>
    <t>Сведения об использовании топливно- энергетических ресурсов</t>
  </si>
  <si>
    <t>с 20 января по 16 февраля после отчетного периода</t>
  </si>
  <si>
    <t>1-ХО</t>
  </si>
  <si>
    <t>Сведения о производстве КОХ и ФСФ-химикатов, подлежащих объявлению и контролю по Конвенции</t>
  </si>
  <si>
    <t xml:space="preserve">с 1-го официального 
рабочего дня января 
по 27 января
</t>
  </si>
  <si>
    <t>Сведения о производстве и потреблении химикатов списков 2 и 3, подлежащих объявлению и контролю по Конвенции</t>
  </si>
  <si>
    <t>Сведения об итогах сева под урожай</t>
  </si>
  <si>
    <t>не позднее 25.04.2025</t>
  </si>
  <si>
    <t>с 30 апреля по 15 июня отчетного периода</t>
  </si>
  <si>
    <t>2-фермер (1 раз в год)</t>
  </si>
  <si>
    <t>Сведения о сборе урожая сельскохозяйственных культур</t>
  </si>
  <si>
    <t>не позднее 23.09.2025</t>
  </si>
  <si>
    <t>с 13 октября по 21 ноября отчетного года</t>
  </si>
  <si>
    <t>2-фермер (2 раза в год) (в части малых предприятий) (критерий 2-фермер (малые предприятия_2 октября))</t>
  </si>
  <si>
    <t>не позднее 26.08.2025</t>
  </si>
  <si>
    <t xml:space="preserve">2 октября (по состоянию на 1 октября)
</t>
  </si>
  <si>
    <t>2-фермер (2 раза в год) (в части малых предприятий) (критерий 2-фермер (малые предприятия_2 ноября))</t>
  </si>
  <si>
    <t>с 13 октября по 21 ноября отчетного года, 10 января</t>
  </si>
  <si>
    <t>Сведения о внесении удобрений и проведении работ по химической мелиорации земель</t>
  </si>
  <si>
    <t>с 1-го рабочего дня 
по 12 января после отчетного периода</t>
  </si>
  <si>
    <t>Сведения о переработке картофеля, овощей и плодовоягодной продукции</t>
  </si>
  <si>
    <t>не позднее 22.01.2025</t>
  </si>
  <si>
    <t>с 23 по 30 января после отчетного периода</t>
  </si>
  <si>
    <t>3-фермер</t>
  </si>
  <si>
    <t>Сведения о производстве продукции животноводства и поголовье скота</t>
  </si>
  <si>
    <t>не позднее 25.11.2024</t>
  </si>
  <si>
    <t>с 4 по 9 января после отчетного периода</t>
  </si>
  <si>
    <t>24-СХ</t>
  </si>
  <si>
    <t>Сведения о состоянии животноводства</t>
  </si>
  <si>
    <t>не позднее 26.12.2024</t>
  </si>
  <si>
    <t xml:space="preserve">с 1-го рабочего дня по 12 января
после отчетного периода
</t>
  </si>
  <si>
    <t>не позднее 10.10.2025</t>
  </si>
  <si>
    <t>с 13 октября по 21 ноября отчетного периода (10 января после отчетного периода)</t>
  </si>
  <si>
    <t>10-МЕХ (краткая)</t>
  </si>
  <si>
    <t>Сведения о наличии тракторов, сельскохозяйственных машин и энергетических мощностей</t>
  </si>
  <si>
    <t>с 1-го рабочего дня 
по 20 января после отчетного периода</t>
  </si>
  <si>
    <t>Сведения о деятельности сельскохозяйственных потребительских кооперативов (за исключением перерабатывающих, снабженческо-сбытовых и кредитных)</t>
  </si>
  <si>
    <t>с 1-го рабочего дня по 25-е января после отчетного периода</t>
  </si>
  <si>
    <t>21-СХ</t>
  </si>
  <si>
    <t>Сведения о реализации сельскохозяйственной продукции</t>
  </si>
  <si>
    <t xml:space="preserve">с 11 по 15 января
после отчетного периода
</t>
  </si>
  <si>
    <t>Сведения о вывозе сельскохозяйственной продукции</t>
  </si>
  <si>
    <t xml:space="preserve">с 11 по 15 января 
после отчетного периода
</t>
  </si>
  <si>
    <t>Приложение к форме № 14</t>
  </si>
  <si>
    <t>Сведения о поголовье скота в хозяйствах населения</t>
  </si>
  <si>
    <t>не позднее 22.12.2024</t>
  </si>
  <si>
    <t xml:space="preserve">с 15 по 20 января
после отчетного периода
</t>
  </si>
  <si>
    <t>12-строительство</t>
  </si>
  <si>
    <t>Сведения о наличии основных строительных машин</t>
  </si>
  <si>
    <t>с 1-го рабочего дня января по 25 января после отчетного периода</t>
  </si>
  <si>
    <t>Сведения о коммерческом обмене технологиями с зарубежными странами (партнерами)</t>
  </si>
  <si>
    <t xml:space="preserve">с 15 февраля по 2 марта
после отчетного периода
</t>
  </si>
  <si>
    <t>1-ТОРГ</t>
  </si>
  <si>
    <t>Сведения о продаже товаров организациями оптовой и розничной торговли</t>
  </si>
  <si>
    <t>с 7 по 17 февраля после отчетного периода</t>
  </si>
  <si>
    <t>Сведения о деятельности индивидуального предпринимателя в розничной торговле</t>
  </si>
  <si>
    <t>не позднее 08.09.2025</t>
  </si>
  <si>
    <t>с 5 по 17 октября</t>
  </si>
  <si>
    <t>Сведения о наличии железнодорожного подвижного состава для перевозок по сети железных дорог общего пользования и основных показателях деятельности промышленного железнодорожного транспорта</t>
  </si>
  <si>
    <t xml:space="preserve">
не позднее 20.12.2024</t>
  </si>
  <si>
    <t>с 10 по 25 января</t>
  </si>
  <si>
    <t>0615011</t>
  </si>
  <si>
    <t>1-РЖД (жел)</t>
  </si>
  <si>
    <t>Основные показатели деятельности железнодорожного транспорта общего пользования</t>
  </si>
  <si>
    <t xml:space="preserve">
не позднее 11.04.2025</t>
  </si>
  <si>
    <t>с 16 по 20 мая</t>
  </si>
  <si>
    <t>Сведения о деятельности пассажирского автомобильного транспорта</t>
  </si>
  <si>
    <t>с 10 по 25 января после отчетного периода</t>
  </si>
  <si>
    <t>Сведения об автомобильных дорогах общего пользования местного значения и искусственных сооружениях на них</t>
  </si>
  <si>
    <t>с 10 по 15 февраля после отчетного периода</t>
  </si>
  <si>
    <t>Сведения о грузовом автотранспорте и протяженности автодорог необщего пользования</t>
  </si>
  <si>
    <t xml:space="preserve">
не позднее  28.12.2024</t>
  </si>
  <si>
    <t>Сведения о ценах (тарифах) на промышленные товары и услуги, приобретенные сельскохозяйственными организациями</t>
  </si>
  <si>
    <t>не позднее 13.01.2025</t>
  </si>
  <si>
    <t>с 10 февраля по 2 марта после отчетного периода</t>
  </si>
  <si>
    <t>1-РЦ</t>
  </si>
  <si>
    <t>Сведения о структуре отпускной цены на отдельные виды товаров</t>
  </si>
  <si>
    <t>не позднее 7.02.2025</t>
  </si>
  <si>
    <t>с 16 февраля по 30 марта после отчетного периода</t>
  </si>
  <si>
    <t>2-РЦ</t>
  </si>
  <si>
    <t>Сведения о составе розничной цены и затратах организаций розничной торговли по продаже отдельных видов товаров</t>
  </si>
  <si>
    <t>Обследование инвестиционной активности организаций</t>
  </si>
  <si>
    <t>не позднее 16.09.2025</t>
  </si>
  <si>
    <t>C 16 сентября по 10 октября</t>
  </si>
  <si>
    <t>Сведения об инвестициях в основной капитал, направленных на охрану окружающей среды и рациональное использование природных ресурсов</t>
  </si>
  <si>
    <t>с 1-го рабочего дня января по 4 февраля после отчетного периода</t>
  </si>
  <si>
    <t>Сведения об инвестиционной деятельности</t>
  </si>
  <si>
    <t>20.01.2025 - 14.02.2025</t>
  </si>
  <si>
    <t>С 15 февраля по 1 апреля</t>
  </si>
  <si>
    <t>0603035</t>
  </si>
  <si>
    <t>1-СОЦ (Н)</t>
  </si>
  <si>
    <t>Сведения о величине прожиточного минимума, установленной в субъекте Российской Федерации</t>
  </si>
  <si>
    <t>не позднее 
27.06.2025</t>
  </si>
  <si>
    <t xml:space="preserve">на 2-й рабочий день после официального опубликования нормативного правового акта, устанавливающего величину прожиточного минимума 
в целом по субъекту
 Российской Федерации
</t>
  </si>
  <si>
    <t>Сведения об основных показателях деятельности микропредприятия</t>
  </si>
  <si>
    <t xml:space="preserve">с 1-го официального 
рабочего дня января 
по 5 февраля
</t>
  </si>
  <si>
    <t>Сведения о деятельности индивидуального предпринимателя</t>
  </si>
  <si>
    <t xml:space="preserve">с 10 января по 2 марта
</t>
  </si>
  <si>
    <t>1-СХ (баланс) - срочная</t>
  </si>
  <si>
    <t>Сведения о движении зерна и продуктов его переработки</t>
  </si>
  <si>
    <t>с 1-го по 3-й рабочий день после отчетного года</t>
  </si>
  <si>
    <t>Сведения об объеме платных услуг населению</t>
  </si>
  <si>
    <t>с 1 февраля 
по 1 марта после отчетного периода</t>
  </si>
  <si>
    <t>Приложение к форме № П-2(инвест)</t>
  </si>
  <si>
    <t>Сведения об инвестиционной деятельности юридических лиц, входящих в группу предприятий</t>
  </si>
  <si>
    <t>не позднее 15.01.2025</t>
  </si>
  <si>
    <t>с 15 февраля по 15 июня</t>
  </si>
  <si>
    <t>Сведения  о выполнении научных исследований и разработок малым предприятием</t>
  </si>
  <si>
    <t>не позднее 31.03.2025</t>
  </si>
  <si>
    <t>с 14 по 24 мая 
после отчетного периода</t>
  </si>
  <si>
    <t>Сведения об использовании цифровых технологий малым предприятием</t>
  </si>
  <si>
    <t>не позднее 20.03.2025</t>
  </si>
  <si>
    <t>с 21 по 30 апреля после отчетного периода</t>
  </si>
  <si>
    <t>Сведения о применении промышленной робототехники на обрабатывающем производстве</t>
  </si>
  <si>
    <t>с 13 по 20 января после отчетного периода</t>
  </si>
  <si>
    <t>Сведения об инновационной деятельности малого предприятия</t>
  </si>
  <si>
    <t>не позднее 06.03.2025</t>
  </si>
  <si>
    <t>с 9 по 15 апреля после отчетного периода</t>
  </si>
  <si>
    <t>Сведения о числе торговых мест на рынках</t>
  </si>
  <si>
    <t>1 квартал 2025 г.</t>
  </si>
  <si>
    <t>не позднее 28.03.2025</t>
  </si>
  <si>
    <t>2 квартал 2025 г.</t>
  </si>
  <si>
    <t>не позднее 27.06.2025</t>
  </si>
  <si>
    <t>1 полугодие 2025 г.</t>
  </si>
  <si>
    <t>3 квартал 2025 г.</t>
  </si>
  <si>
    <t>не позднее 26.09.2025</t>
  </si>
  <si>
    <t>4 квартал 2025 г.</t>
  </si>
  <si>
    <t>не позднее 30.12.2025</t>
  </si>
  <si>
    <t>2 полугодие 2025 г.</t>
  </si>
  <si>
    <t>Обследование конъюнктуры и деловой активности в розничной торговле</t>
  </si>
  <si>
    <t xml:space="preserve">
не позднее 29.01.2025</t>
  </si>
  <si>
    <t xml:space="preserve">
не позднее 29.04.2025</t>
  </si>
  <si>
    <t xml:space="preserve">
не позднее 29.07.2025</t>
  </si>
  <si>
    <t xml:space="preserve">
не позднее 29.10.2025</t>
  </si>
  <si>
    <t>Обследование конъюнктуры и деловой активности в оптовой торговле</t>
  </si>
  <si>
    <t xml:space="preserve">
не позднее 07.02.2025
</t>
  </si>
  <si>
    <t>не позднее 07.05.2025</t>
  </si>
  <si>
    <t xml:space="preserve">
не позднее 08.08.2025</t>
  </si>
  <si>
    <t xml:space="preserve">
не позднее 07.11.2025</t>
  </si>
  <si>
    <t>1-ДА (услуги)</t>
  </si>
  <si>
    <t>Обследование деловой активности в сфере услуг</t>
  </si>
  <si>
    <t>не позднее 30.01.2025</t>
  </si>
  <si>
    <t>не позднее 30.04.2025</t>
  </si>
  <si>
    <t>не позднее 29.07.2025</t>
  </si>
  <si>
    <t>не позднее 28.10.2025</t>
  </si>
  <si>
    <t>ДАС</t>
  </si>
  <si>
    <t>Обследования деловой активности строительной организации</t>
  </si>
  <si>
    <t>не позднее 29.01.2025</t>
  </si>
  <si>
    <t>Сведения о предоставлении гражданам субсидий на оплату жилого помещения и коммунальных услуг</t>
  </si>
  <si>
    <t>не позднее 26.12.2025</t>
  </si>
  <si>
    <t>Сведения о работе организаций, оказывающих услуги в сфере жилищно-коммунального хозяйства, в условиях реформы</t>
  </si>
  <si>
    <t>Сведения о работе ресурсоснабжающих организаций в условиях реформы</t>
  </si>
  <si>
    <t>Сведения о предоставлении гражданам социальной поддержки по оплате жилого помещения и коммунальных услуг</t>
  </si>
  <si>
    <t>ЗП-здрав</t>
  </si>
  <si>
    <t>Сведения о численности и оплате труда работников сферы здравоохранения по категориям персонала</t>
  </si>
  <si>
    <t>не позднее 30.06.2025</t>
  </si>
  <si>
    <t>не позднее 29.09.2025</t>
  </si>
  <si>
    <t>не позднее 29.12.2025</t>
  </si>
  <si>
    <t>ЗП-культура</t>
  </si>
  <si>
    <t>Сведения о численности и оплате труда работников сферы культуры по категориям персонала</t>
  </si>
  <si>
    <t>ЗП-наука</t>
  </si>
  <si>
    <t>Сведения о численности и оплате труда работников организаций, осуществляющих научные исследования и разработки, по категориям персонала</t>
  </si>
  <si>
    <t>ЗП-образование</t>
  </si>
  <si>
    <t>Сведения о численности и оплате труда работников сферы образования по категориям персонала</t>
  </si>
  <si>
    <t>ЗП-соц</t>
  </si>
  <si>
    <t>Сведения о численности и оплате труда работников сферы социального обслуживания по категориям персонала</t>
  </si>
  <si>
    <t>Сведения о числе торговых мест на ярмарках</t>
  </si>
  <si>
    <t>0610066</t>
  </si>
  <si>
    <t>6-нефть</t>
  </si>
  <si>
    <t>Сведения о себестоимости добычи нефти, производства нефтепродуктов</t>
  </si>
  <si>
    <t>не позднее 30.09.2025</t>
  </si>
  <si>
    <t>1-вывоз</t>
  </si>
  <si>
    <t>Сведения о продаже (отгрузке) продукции (товаров) по месту нахождения покупателей (грузополучателей)</t>
  </si>
  <si>
    <t xml:space="preserve">
не позднее 27.06.2025
</t>
  </si>
  <si>
    <t xml:space="preserve">
не позднее 26.09.2025</t>
  </si>
  <si>
    <t xml:space="preserve">
не позднее 26.12.2025</t>
  </si>
  <si>
    <t>Сведения об инвестициях в нефинансовые активы</t>
  </si>
  <si>
    <t>0610016</t>
  </si>
  <si>
    <t>П-5 (м)</t>
  </si>
  <si>
    <t>П-6</t>
  </si>
  <si>
    <t>Сведения о финансовых вложениях и обязательствах</t>
  </si>
  <si>
    <t>Сведения о деятельности страховщика</t>
  </si>
  <si>
    <t>2-наука (краткая) (открытый каталог)</t>
  </si>
  <si>
    <t>Сведения о выполнении научных исследований и разработок</t>
  </si>
  <si>
    <t>не позднее 01.07.2025</t>
  </si>
  <si>
    <t>Сведения о неполной занятости и движении работников</t>
  </si>
  <si>
    <t>не позднее  26.12.2025</t>
  </si>
  <si>
    <t>Сведения о средствах на реализацию мер социальной поддержки отдельных категорий  граждан по расходным обязательствам субъекта Российской Федерации и муниципальных образований</t>
  </si>
  <si>
    <t xml:space="preserve">
не позднее 27.06.2025</t>
  </si>
  <si>
    <t xml:space="preserve">
не позднее 30.12.2025</t>
  </si>
  <si>
    <t>0615181</t>
  </si>
  <si>
    <t>45-ПП</t>
  </si>
  <si>
    <t>Сведения о почтовых переводах</t>
  </si>
  <si>
    <t>0615131</t>
  </si>
  <si>
    <t>1-газ (труб)</t>
  </si>
  <si>
    <t>Сведения о деятельности газотранспортных организаций ПАО "Газпром"</t>
  </si>
  <si>
    <t xml:space="preserve">
не позднее 30.09.2025</t>
  </si>
  <si>
    <t>0615132</t>
  </si>
  <si>
    <t>1-нефтепродукты (труб)</t>
  </si>
  <si>
    <t>Сведения о деятельности нефтепродуктотранспортных организаций ПАО "Транснефть"</t>
  </si>
  <si>
    <t>0615134</t>
  </si>
  <si>
    <t>1-нефть (труб)</t>
  </si>
  <si>
    <t>Сведения о деятельности нефтетранспортных организаций ПАО "Транснефть"</t>
  </si>
  <si>
    <t>0605104</t>
  </si>
  <si>
    <t>3-АЛК (прав)</t>
  </si>
  <si>
    <t>Сведения о результатах проверок по выявлению незаконного производства и оборота этилового спирта, алкогольной и спиртосодержащей продукции</t>
  </si>
  <si>
    <t>не позднее 14.03.2025</t>
  </si>
  <si>
    <t>не позднее 16.06.2025</t>
  </si>
  <si>
    <t>не позднее 12.09.2025</t>
  </si>
  <si>
    <t>не позднее 12.12.2025</t>
  </si>
  <si>
    <t>1-РЖ</t>
  </si>
  <si>
    <t>Сведения об уровне цен на рынке жилья</t>
  </si>
  <si>
    <t>не позднее 27.02.2025</t>
  </si>
  <si>
    <t>1-связь (тарифы)</t>
  </si>
  <si>
    <t>Сведения о тарифах на услуги связи для юридических лиц</t>
  </si>
  <si>
    <t>не позднее  
21.02.2025</t>
  </si>
  <si>
    <t>3-ТОРГ (ПМ)</t>
  </si>
  <si>
    <t>Сведения об обороте розничной торговли малого предприятия</t>
  </si>
  <si>
    <t>не позднее  21.02.2025</t>
  </si>
  <si>
    <t>Сведения о затратах на производство и продажу продукции (товаров, работ, услуг)</t>
  </si>
  <si>
    <t>не позднее 27.03.2025</t>
  </si>
  <si>
    <t xml:space="preserve">не позднее 26.09.2025 </t>
  </si>
  <si>
    <t>ПМ</t>
  </si>
  <si>
    <t>Сведения об основных показателях деятельности малого предприятия</t>
  </si>
  <si>
    <t>не позднее 25.03.2025</t>
  </si>
  <si>
    <t>0608007</t>
  </si>
  <si>
    <t>1-ФЦП</t>
  </si>
  <si>
    <t>Сведения об использовании средств из бюджетных и внебюджетных источников финансирования на выполнение федеральных целевых программ (подпрограмм)</t>
  </si>
  <si>
    <t>Анкета обследования индивидуальных предпринимателей, осуществляющих перевозку грузов на коммерческой основе</t>
  </si>
  <si>
    <t>не позднее 04.04.2025</t>
  </si>
  <si>
    <t>не позднее 04.07.2025</t>
  </si>
  <si>
    <t>не позднее 03.10.2025</t>
  </si>
  <si>
    <t>Сведения об объектах розничной торговли и общественного питания</t>
  </si>
  <si>
    <t>65-ЭТР(кв)</t>
  </si>
  <si>
    <t>Сведения о деятельности городского электрического транспорта</t>
  </si>
  <si>
    <t>1-РКН</t>
  </si>
  <si>
    <t>Сведения об уровне цен на рынке коммерческой недвижимости</t>
  </si>
  <si>
    <t>январь 2025 г.</t>
  </si>
  <si>
    <t>февраль 2025 г.</t>
  </si>
  <si>
    <t>не позднее 21.02.2025</t>
  </si>
  <si>
    <t>март 2025 г.</t>
  </si>
  <si>
    <t>апрель 2025 г.</t>
  </si>
  <si>
    <t>не позднее 29.04.2025</t>
  </si>
  <si>
    <t>май 2025 г.</t>
  </si>
  <si>
    <t>не позднее 28.05.2025</t>
  </si>
  <si>
    <t>июнь 2025 г.</t>
  </si>
  <si>
    <t>июль 2025 г.</t>
  </si>
  <si>
    <t>август 2025 г.</t>
  </si>
  <si>
    <t>не позднее 29.08.2025</t>
  </si>
  <si>
    <t>сентябрь 2025 г.</t>
  </si>
  <si>
    <t>октябрь 2025 г.</t>
  </si>
  <si>
    <t>не позднее 29.10.2025</t>
  </si>
  <si>
    <t>ноябрь 2025 г.</t>
  </si>
  <si>
    <t>не позднее 28.11.2025</t>
  </si>
  <si>
    <t>декабрь 2025 г.</t>
  </si>
  <si>
    <t>Сведения об обороте торговли малого предприятия</t>
  </si>
  <si>
    <t>2-цены приобретения</t>
  </si>
  <si>
    <t>Сведения о ценах приобретения отдельных видов товаров</t>
  </si>
  <si>
    <t xml:space="preserve">
не позднее 28.04.2025</t>
  </si>
  <si>
    <t xml:space="preserve">
не позднее 27.05.2025</t>
  </si>
  <si>
    <t xml:space="preserve"> 
не позднее 29.07.2025</t>
  </si>
  <si>
    <t xml:space="preserve">
не позднее 28.10.2025</t>
  </si>
  <si>
    <t xml:space="preserve">
не позднее 29.12.2025</t>
  </si>
  <si>
    <t>2-цены приобретения (зерно)</t>
  </si>
  <si>
    <t>Сведения о средних ценах на приобретенное промышленными организациями зерно для основного производства</t>
  </si>
  <si>
    <t>ПМ-пром</t>
  </si>
  <si>
    <t>Сведения о производстве продукции малым предприятием</t>
  </si>
  <si>
    <t xml:space="preserve">не позднее 29.05.2025 </t>
  </si>
  <si>
    <t>не позднее  29.10.2025</t>
  </si>
  <si>
    <t>Сведения о работе автобусов по маршрутам регулярных перевозок</t>
  </si>
  <si>
    <t xml:space="preserve">
не позднее 30.06.2025</t>
  </si>
  <si>
    <t>1-ИП (мес)</t>
  </si>
  <si>
    <t>Сведения о производстве продукции индивидуальным предпринимателем</t>
  </si>
  <si>
    <t>Сведения о количестве семей, получивших жилое помещение по договорам социального найма</t>
  </si>
  <si>
    <t>не позднее 28.02.2025</t>
  </si>
  <si>
    <t>не позднее 30.05.2025</t>
  </si>
  <si>
    <t>не позднее 30.07.2025</t>
  </si>
  <si>
    <t>не позднее 30.10.2025</t>
  </si>
  <si>
    <t>0615130</t>
  </si>
  <si>
    <t>2-ТР (труб)</t>
  </si>
  <si>
    <t>Сведения о магистральном нефтепроводном транспорте</t>
  </si>
  <si>
    <t>8-ВЭС (бункер)</t>
  </si>
  <si>
    <t>Сведения об экспорте (импорте) бункерного топлива</t>
  </si>
  <si>
    <t>не позднее 27.01.2025</t>
  </si>
  <si>
    <t>не позднее 24.02.2025</t>
  </si>
  <si>
    <t>0613042</t>
  </si>
  <si>
    <t>8-ВЭС рыба</t>
  </si>
  <si>
    <t>Сведения об экспорте рыбы, рыбопродуктов и морепродуктов, выловленных (добытых) и проданных вне зоны действия таможенного контроля</t>
  </si>
  <si>
    <t>П-1(СХ)</t>
  </si>
  <si>
    <t>Сведения о производстве и отгрузке сельскохозяйственной продукции</t>
  </si>
  <si>
    <t>не позднее 29.05.2025</t>
  </si>
  <si>
    <t>не позднее 27.11.2025</t>
  </si>
  <si>
    <t>П (услуги)</t>
  </si>
  <si>
    <t>Сведения об объеме платных услуг населению по видам</t>
  </si>
  <si>
    <t>не позднее 31.01.2025</t>
  </si>
  <si>
    <t>Сведения о просроченной задолженности по заработной плате</t>
  </si>
  <si>
    <t>не позднее 28.04.2025</t>
  </si>
  <si>
    <t>Сведения о финансовом состоянии организации</t>
  </si>
  <si>
    <t>не позднее 31.07.2025</t>
  </si>
  <si>
    <t>не позднее 31.10.2025</t>
  </si>
  <si>
    <t>Приложение N 2 к форме N П-1</t>
  </si>
  <si>
    <t>Сведения о производстве военной (оборонной) продукции</t>
  </si>
  <si>
    <t xml:space="preserve">не позднее 28.05.2025 </t>
  </si>
  <si>
    <t>Сведения о производстве и отгрузке товаров и услуг</t>
  </si>
  <si>
    <t>Сведения о выданных разрешениях на строительство и разрешениях на ввод объектов в эксплуатацию</t>
  </si>
  <si>
    <t>не позднее 28.08.2025</t>
  </si>
  <si>
    <t>0607038</t>
  </si>
  <si>
    <t>1-нефтепродукт</t>
  </si>
  <si>
    <t>Сведения об отгрузке нефтепродуктов потребителям</t>
  </si>
  <si>
    <t>не позднее 27.05.2025</t>
  </si>
  <si>
    <t>Сведения о построенных населением жилых домах</t>
  </si>
  <si>
    <t>Сведения о приостановке (забастовке) и возобновлении работы трудовых коллективов</t>
  </si>
  <si>
    <t>не позднее 26.02.2025</t>
  </si>
  <si>
    <t>не позднее 26.06.2025</t>
  </si>
  <si>
    <t>не позднее 27.08.2025</t>
  </si>
  <si>
    <t>не позднее 26.11.2025</t>
  </si>
  <si>
    <t>Сведения о вводе в эксплуатацию зданий и сооружений</t>
  </si>
  <si>
    <t>не позднее 01.04.2025</t>
  </si>
  <si>
    <t>не позднее 02.06.2025</t>
  </si>
  <si>
    <t>не позднее 01.08.2025</t>
  </si>
  <si>
    <t>не позднее 01.09.2025</t>
  </si>
  <si>
    <t>не позднее 01.10.2025</t>
  </si>
  <si>
    <t>не позднее 01.11.2025</t>
  </si>
  <si>
    <t>не позднее 01.12.2025</t>
  </si>
  <si>
    <t>Первый рабочий день 2026 г.</t>
  </si>
  <si>
    <t>1-ТАРИФ (жел)</t>
  </si>
  <si>
    <t>Сведения о тарифах на перевозку тонны грузов железнодорожным транспортом</t>
  </si>
  <si>
    <t>23.12.2024 - 27.12.2024</t>
  </si>
  <si>
    <t>0615133</t>
  </si>
  <si>
    <t>12-труб (нефтепродукты)</t>
  </si>
  <si>
    <t>Сведения о магистральном нефтепродуктопроводном транспорте</t>
  </si>
  <si>
    <t>0615012</t>
  </si>
  <si>
    <t>2-РЖД (жел)</t>
  </si>
  <si>
    <t>Сведения о перевозочной деятельности на железнодорожном транспорте общего пользования</t>
  </si>
  <si>
    <t xml:space="preserve">
не позднее 27.05.2025
</t>
  </si>
  <si>
    <t>0605023</t>
  </si>
  <si>
    <t>1-ПРИБ</t>
  </si>
  <si>
    <t>Сведения о прибывших гражданах Российской Федерации</t>
  </si>
  <si>
    <t>не позднее 18.01.2025</t>
  </si>
  <si>
    <t>0605024</t>
  </si>
  <si>
    <t>1-ВЫБ</t>
  </si>
  <si>
    <t>Сведения о выбывших гражданах Российской Федерации</t>
  </si>
  <si>
    <t>0605025</t>
  </si>
  <si>
    <t>1-ПРИБ_ИнГр</t>
  </si>
  <si>
    <t>Сведения о прибывших иностранных гражданах и лицах без гражданства</t>
  </si>
  <si>
    <t>0605026</t>
  </si>
  <si>
    <t>1-ВЫБ_ИнГр</t>
  </si>
  <si>
    <t>Сведения о выбывших иностранных гражданах и лицах без гражданства</t>
  </si>
  <si>
    <t>0615135</t>
  </si>
  <si>
    <t>1041-труб</t>
  </si>
  <si>
    <t>Сведения о магистральном газопроводном транспорте</t>
  </si>
  <si>
    <t>1-ТАРИФ (авто)</t>
  </si>
  <si>
    <t>Сведения о тарифах на перевозку грузов автомобильным транспортом</t>
  </si>
  <si>
    <t>0616020</t>
  </si>
  <si>
    <t>1-ТАРИФ (внутр. вод.)</t>
  </si>
  <si>
    <t>Сведения о тарифах на перевозку тонны грузов организациями внутреннего водного транспорта</t>
  </si>
  <si>
    <t>1-ТАРИФ (га)</t>
  </si>
  <si>
    <t>Сведения о тарифах на перевозку тонны грузов организациями воздушного транспорта</t>
  </si>
  <si>
    <t>0616018</t>
  </si>
  <si>
    <t>1-ТАРИФ (мор)</t>
  </si>
  <si>
    <t>Сведения о тарифах на перевозку тонны грузов организациями морского транспорта</t>
  </si>
  <si>
    <t>1-ТАРИФ (труб)</t>
  </si>
  <si>
    <t>Сведения о тарифах на перекачку (транспортировку) грузов трубопроводным транспортом</t>
  </si>
  <si>
    <t>1-цены производителей</t>
  </si>
  <si>
    <t>Сведения о ценах производителей промышленных товаров (услуг)</t>
  </si>
  <si>
    <t>1-СХ-цены</t>
  </si>
  <si>
    <t>Сведения о ценах производителей сельскохозяйственной продукции</t>
  </si>
  <si>
    <t>20.12.2024 - 27.12.2024</t>
  </si>
  <si>
    <t>1-цены производителей (удобрения)</t>
  </si>
  <si>
    <t>Сведения о ценах производителей на минеральные удобрения</t>
  </si>
  <si>
    <t>9-КС</t>
  </si>
  <si>
    <t>Сведения о ценах на приобретенные основные строительные материалы, детали и конструкции</t>
  </si>
  <si>
    <t>27.12.2024</t>
  </si>
  <si>
    <t>Обследование деловой активности организаций добывающих, обрабатывающих производств, осуществляющих обеспечение электрической энергией, газом и паром, кондиционирование воздуха</t>
  </si>
  <si>
    <t>не позднее 12.12.2024</t>
  </si>
  <si>
    <t>Сведения об авиаработах</t>
  </si>
  <si>
    <t>0612041</t>
  </si>
  <si>
    <t>1-КП (АЭ)</t>
  </si>
  <si>
    <t>Сведения о реализации объктов капитального строительства комплексной программы "Развитие техники, технологий и научных исследований в области использования атомной энергии в Российской Федерации на период до 2025 года"</t>
  </si>
  <si>
    <t>0612039</t>
  </si>
  <si>
    <t>1-КАЭС</t>
  </si>
  <si>
    <t>Сведения о степени готовности двухблочной Курской АЭС-2 с реакторными установками ВВЭР-ТОИ к вводу в промышленную экслуатацию</t>
  </si>
  <si>
    <t>Сведения о перевозках грузов и пассажиров морским и внутренним водным транспортом</t>
  </si>
  <si>
    <t>0604037</t>
  </si>
  <si>
    <t>2-КП (АЭ)</t>
  </si>
  <si>
    <t>Сведения о реализации комплексной программы "Развитие техники, технологий и научных исследований в области использования атомной энергии в Российской Федерации на период до 2030 года"</t>
  </si>
  <si>
    <t>0610067</t>
  </si>
  <si>
    <t>1-автобензин</t>
  </si>
  <si>
    <t>Сведения о производстве нефтепродуктов</t>
  </si>
  <si>
    <t>01.01.2025 - 05.01.2025</t>
  </si>
  <si>
    <t>53012025</t>
  </si>
  <si>
    <t>Последний рабочий день недели</t>
  </si>
  <si>
    <t>06.01.2025 - 12.01.2025</t>
  </si>
  <si>
    <t>53022025</t>
  </si>
  <si>
    <t>13.01.2025 - 19.01.2025</t>
  </si>
  <si>
    <t>53032025</t>
  </si>
  <si>
    <t>20.01.2025 - 26.01.2025</t>
  </si>
  <si>
    <t>53042025</t>
  </si>
  <si>
    <t>27.01.2025 - 02.02.2025</t>
  </si>
  <si>
    <t>53052025</t>
  </si>
  <si>
    <t>03.02.2025 - 09.02.2025</t>
  </si>
  <si>
    <t>53062025</t>
  </si>
  <si>
    <t>10.02.2025 - 16.02.2025</t>
  </si>
  <si>
    <t>53072025</t>
  </si>
  <si>
    <t>17.02.2025 - 23.02.2025</t>
  </si>
  <si>
    <t>53082025</t>
  </si>
  <si>
    <t>24.02.2025 - 02.03.2025</t>
  </si>
  <si>
    <t>53092025</t>
  </si>
  <si>
    <t>03.03.2025 - 09.03.2025</t>
  </si>
  <si>
    <t>53102025</t>
  </si>
  <si>
    <t>10.03.2025 - 16.03.2025</t>
  </si>
  <si>
    <t>53112025</t>
  </si>
  <si>
    <t>17.03.2025 - 23.03.2025</t>
  </si>
  <si>
    <t>53122025</t>
  </si>
  <si>
    <t>24.03.2025 - 30.03.2025</t>
  </si>
  <si>
    <t>53132025</t>
  </si>
  <si>
    <t>31.03.2025 - 06.04.2025</t>
  </si>
  <si>
    <t>53142025</t>
  </si>
  <si>
    <t>07.04.2025 - 13.04.2025</t>
  </si>
  <si>
    <t>53152025</t>
  </si>
  <si>
    <t>14.04.2025 - 20.04.2025</t>
  </si>
  <si>
    <t>53162025</t>
  </si>
  <si>
    <t>21.04.2025 - 27.04.2025</t>
  </si>
  <si>
    <t>53172025</t>
  </si>
  <si>
    <t>28.04.2025 - 04.05.2025</t>
  </si>
  <si>
    <t>53182025</t>
  </si>
  <si>
    <t>05.05.2025 - 11.05.2025</t>
  </si>
  <si>
    <t>53192025</t>
  </si>
  <si>
    <t>12.05.2025 - 18.05.2025</t>
  </si>
  <si>
    <t>53202025</t>
  </si>
  <si>
    <t>19.05.2025 - 25.05.2025</t>
  </si>
  <si>
    <t>53212025</t>
  </si>
  <si>
    <t>26.05.2025 - 01.06.2025</t>
  </si>
  <si>
    <t>53222025</t>
  </si>
  <si>
    <t>02.06.2025 - 08.06.2025</t>
  </si>
  <si>
    <t>53232025</t>
  </si>
  <si>
    <t>09.06.2025 - 15.06.2025</t>
  </si>
  <si>
    <t>53242025</t>
  </si>
  <si>
    <t>16.06.2025 - 22.06.2025</t>
  </si>
  <si>
    <t>53252025</t>
  </si>
  <si>
    <t>23.06.2025 - 29.06.2025</t>
  </si>
  <si>
    <t>53262025</t>
  </si>
  <si>
    <t>30.06.2025 - 06.07.2025</t>
  </si>
  <si>
    <t>53272025</t>
  </si>
  <si>
    <t>07.07.2025 - 13.07.2025</t>
  </si>
  <si>
    <t>53282025</t>
  </si>
  <si>
    <t>14.07.2025 - 20.07.2025</t>
  </si>
  <si>
    <t>53292025</t>
  </si>
  <si>
    <t>21.07.2025 - 27.07.2025</t>
  </si>
  <si>
    <t>53302025</t>
  </si>
  <si>
    <t>28.07.2025 - 03.08.2025</t>
  </si>
  <si>
    <t>53312025</t>
  </si>
  <si>
    <t>04.08.2025 - 10.08.2025</t>
  </si>
  <si>
    <t>53322025</t>
  </si>
  <si>
    <t>11.08.2025 - 17.08.2025</t>
  </si>
  <si>
    <t>53332025</t>
  </si>
  <si>
    <t>18.08.2025 - 24.08.2025</t>
  </si>
  <si>
    <t>53342025</t>
  </si>
  <si>
    <t>25.08.2025 - 31.08.2025</t>
  </si>
  <si>
    <t>53352025</t>
  </si>
  <si>
    <t>01.09.2025 - 07.09.2025</t>
  </si>
  <si>
    <t>53362025</t>
  </si>
  <si>
    <t>08.09.2025 - 14.09.2025</t>
  </si>
  <si>
    <t>53372025</t>
  </si>
  <si>
    <t>15.09.2025 - 21.09.2025</t>
  </si>
  <si>
    <t>53382025</t>
  </si>
  <si>
    <t>22.09.2025 - 28.09.2025</t>
  </si>
  <si>
    <t>53392025</t>
  </si>
  <si>
    <t>29.09.2025 - 05.10.2025</t>
  </si>
  <si>
    <t>53402025</t>
  </si>
  <si>
    <t>06.10.2025 - 12.10.2025</t>
  </si>
  <si>
    <t>53412025</t>
  </si>
  <si>
    <t>13.10.2025 - 19.10.2025</t>
  </si>
  <si>
    <t>53422025</t>
  </si>
  <si>
    <t>20.10.2025 - 26.10.2025</t>
  </si>
  <si>
    <t>53432025</t>
  </si>
  <si>
    <t>27.10.2025 - 02.11.2025</t>
  </si>
  <si>
    <t>53442025</t>
  </si>
  <si>
    <t>03.11.2025 - 09.11.2025</t>
  </si>
  <si>
    <t>53452025</t>
  </si>
  <si>
    <t>10.11.2025 - 16.11.2025</t>
  </si>
  <si>
    <t>53462025</t>
  </si>
  <si>
    <t>17.11.2025 - 23.11.2025</t>
  </si>
  <si>
    <t>53472025</t>
  </si>
  <si>
    <t>24.11.2025 - 30.11.2025</t>
  </si>
  <si>
    <t>53482025</t>
  </si>
  <si>
    <t>01.12.2025 - 07.12.2025</t>
  </si>
  <si>
    <t>53492025</t>
  </si>
  <si>
    <t>08.12.2025 - 14.12.2025</t>
  </si>
  <si>
    <t>53502025</t>
  </si>
  <si>
    <t>15.12.2025 - 21.12.2025</t>
  </si>
  <si>
    <t>53512025</t>
  </si>
  <si>
    <t>22.12.2025 - 28.12.2025</t>
  </si>
  <si>
    <t>53522025</t>
  </si>
  <si>
    <t>29.12.2025 - 31.12.2025</t>
  </si>
  <si>
    <t>53532025</t>
  </si>
  <si>
    <t>22.12.2025</t>
  </si>
  <si>
    <t>20.01.2026</t>
  </si>
  <si>
    <t>10.10.2025</t>
  </si>
  <si>
    <t>24.11.2025</t>
  </si>
  <si>
    <t>23.06.2025</t>
  </si>
  <si>
    <t>22.07.2025</t>
  </si>
  <si>
    <t>22.04.2025</t>
  </si>
  <si>
    <t>20.11.2024</t>
  </si>
  <si>
    <t>18.11.2024</t>
  </si>
  <si>
    <t>10.01.2026</t>
  </si>
  <si>
    <t>31.12.2025</t>
  </si>
  <si>
    <t>05.06.2025</t>
  </si>
  <si>
    <t>02.03.2025</t>
  </si>
  <si>
    <t>11.01.2026</t>
  </si>
  <si>
    <t>16.02.2025</t>
  </si>
  <si>
    <t>28.01.2025</t>
  </si>
  <si>
    <t>04.12.2025</t>
  </si>
  <si>
    <t>04.09.2025</t>
  </si>
  <si>
    <t>17.01.2025</t>
  </si>
  <si>
    <t>04.11.2025</t>
  </si>
  <si>
    <t>20.05.2026</t>
  </si>
  <si>
    <t>21.01.2025</t>
  </si>
  <si>
    <t>29.01.2026</t>
  </si>
  <si>
    <t>Рассылка 2
(до)</t>
  </si>
  <si>
    <t>Рассылка 2
(от)</t>
  </si>
  <si>
    <t>Рассылка 1
(дата)</t>
  </si>
  <si>
    <t>18.01.2026</t>
  </si>
  <si>
    <t>21.08.2025</t>
  </si>
  <si>
    <t>19.09.2025</t>
  </si>
  <si>
    <t>19.12.2025</t>
  </si>
  <si>
    <t>04.01.2026</t>
  </si>
  <si>
    <t>06.01.2026</t>
  </si>
  <si>
    <t>02.01.2026</t>
  </si>
  <si>
    <t>07.01.2026</t>
  </si>
  <si>
    <t>17.01.2026</t>
  </si>
  <si>
    <t>-</t>
  </si>
  <si>
    <t>выборочная форма</t>
  </si>
  <si>
    <t>по наличию явления; 2 рассылки</t>
  </si>
  <si>
    <t>по наличию явления; нет рассылок</t>
  </si>
  <si>
    <t>по наличию явления; 1 рассылка</t>
  </si>
  <si>
    <t>нет рассылки</t>
  </si>
  <si>
    <t>рассылка 1</t>
  </si>
  <si>
    <t>нет рассылок</t>
  </si>
  <si>
    <t>по наличию  явления; 2 рассылки</t>
  </si>
  <si>
    <t>21.10.2025</t>
  </si>
  <si>
    <t>2 полугодие 2024</t>
  </si>
  <si>
    <t>№ 2-цены приобретения</t>
  </si>
  <si>
    <t>№ 1-РЖ</t>
  </si>
  <si>
    <t>№ 2-цены приобретения (зерно)</t>
  </si>
  <si>
    <t>Приложение №2</t>
  </si>
  <si>
    <t>П-4 до 15</t>
  </si>
  <si>
    <t>№1-вывоз</t>
  </si>
  <si>
    <t>№2-кооператив</t>
  </si>
  <si>
    <t>другое ПО</t>
  </si>
  <si>
    <t>ОТМЕНЕНА</t>
  </si>
  <si>
    <t>по наличия явления; 2 рассылки</t>
  </si>
  <si>
    <t>по наличию явления;1 рассылка</t>
  </si>
  <si>
    <t>1 рассылка</t>
  </si>
  <si>
    <t>Семухина Екатерина Григорьевна, т. 418, к. 301</t>
  </si>
  <si>
    <t>Семухина Екатерина Григорьевна, т. 418, к. 302</t>
  </si>
  <si>
    <t>Семухина Екатерина Григорьевна, т. 418, к. 303</t>
  </si>
  <si>
    <t>Семухина Екатерина Григорьевна, т. 418, к. 304</t>
  </si>
  <si>
    <t>Семухина Екатерина Григорьевна, т. 418, к. 305</t>
  </si>
  <si>
    <t>13.06.2025</t>
  </si>
  <si>
    <t>Максимова Мария Владимировна 371-04-60 доб. 421,  к. 304</t>
  </si>
  <si>
    <t>12.04.2024</t>
  </si>
  <si>
    <t>01.04.2024</t>
  </si>
  <si>
    <t>25.04.2024</t>
  </si>
  <si>
    <t>09.04.2024</t>
  </si>
  <si>
    <t>11.04.2024</t>
  </si>
  <si>
    <t>12.07.2024</t>
  </si>
  <si>
    <t>25.07.2024</t>
  </si>
  <si>
    <t>09.07.2024</t>
  </si>
  <si>
    <t>11.07.2024</t>
  </si>
  <si>
    <t>14.10.2024</t>
  </si>
  <si>
    <t>01.10.2024</t>
  </si>
  <si>
    <t>25.10.2024</t>
  </si>
  <si>
    <t>09.10.2024</t>
  </si>
  <si>
    <t>11.10.2024</t>
  </si>
  <si>
    <t>08.01.2025</t>
  </si>
  <si>
    <t>Страхова Людмила Евгеньевна, т.  710, к. 432</t>
  </si>
  <si>
    <t>16.05.2026</t>
  </si>
  <si>
    <t>14.05.2026</t>
  </si>
  <si>
    <t xml:space="preserve"> </t>
  </si>
  <si>
    <t>'02.07.2025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</si>
</sst>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&quot;;[&lt;&gt;0]#;\О\с\н\о\в\н\о\й"/>
  </numFmts>
  <fonts count="3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rgb="FFC00000"/>
      <name val="Arial"/>
      <family val="2"/>
      <charset val="204"/>
    </font>
    <font>
      <sz val="8"/>
      <color rgb="FF3886CC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29679F"/>
      <name val="Arial"/>
      <family val="2"/>
      <charset val="204"/>
    </font>
    <font>
      <b/>
      <sz val="10"/>
      <color rgb="FFC00000"/>
      <name val="Arial"/>
      <family val="2"/>
      <charset val="204"/>
    </font>
    <font>
      <i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name val="Arial"/>
    </font>
    <font>
      <strike/>
      <sz val="9"/>
      <color rgb="FFFF0000"/>
      <name val="Arial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8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AE57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230">
    <xf numFmtId="0" fontId="0" fillId="0" borderId="0" xfId="0"/>
    <xf numFmtId="0" fontId="18" fillId="0" borderId="0" xfId="0" applyFont="1"/>
    <xf numFmtId="0" fontId="18" fillId="0" borderId="15" xfId="0" applyFont="1" applyBorder="1" applyAlignment="1">
      <alignment horizontal="left" vertical="top"/>
    </xf>
    <xf numFmtId="0" fontId="18" fillId="0" borderId="15" xfId="0" applyFont="1" applyBorder="1" applyAlignment="1">
      <alignment horizontal="center" vertical="top"/>
    </xf>
    <xf numFmtId="0" fontId="18" fillId="0" borderId="18" xfId="0" applyFont="1" applyBorder="1" applyAlignment="1">
      <alignment horizontal="left" vertical="top"/>
    </xf>
    <xf numFmtId="0" fontId="18" fillId="0" borderId="18" xfId="0" applyFont="1" applyBorder="1" applyAlignment="1">
      <alignment horizontal="center" vertical="top"/>
    </xf>
    <xf numFmtId="0" fontId="18" fillId="0" borderId="18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left" vertical="top"/>
    </xf>
    <xf numFmtId="0" fontId="18" fillId="0" borderId="21" xfId="0" applyFont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left" vertical="top"/>
    </xf>
    <xf numFmtId="49" fontId="18" fillId="0" borderId="15" xfId="0" applyNumberFormat="1" applyFont="1" applyBorder="1" applyAlignment="1">
      <alignment horizontal="center" vertical="top"/>
    </xf>
    <xf numFmtId="0" fontId="22" fillId="0" borderId="15" xfId="0" applyFont="1" applyBorder="1" applyAlignment="1">
      <alignment horizontal="left" vertical="top"/>
    </xf>
    <xf numFmtId="0" fontId="18" fillId="0" borderId="23" xfId="0" applyFont="1" applyBorder="1" applyAlignment="1">
      <alignment horizontal="left" vertical="top"/>
    </xf>
    <xf numFmtId="49" fontId="18" fillId="0" borderId="23" xfId="0" applyNumberFormat="1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22" fillId="0" borderId="23" xfId="0" applyFont="1" applyBorder="1" applyAlignment="1">
      <alignment horizontal="left" vertical="top"/>
    </xf>
    <xf numFmtId="49" fontId="18" fillId="0" borderId="18" xfId="0" applyNumberFormat="1" applyFont="1" applyBorder="1" applyAlignment="1">
      <alignment horizontal="center" vertical="top"/>
    </xf>
    <xf numFmtId="0" fontId="22" fillId="0" borderId="18" xfId="0" applyFont="1" applyBorder="1" applyAlignment="1">
      <alignment horizontal="left" vertical="top"/>
    </xf>
    <xf numFmtId="0" fontId="18" fillId="0" borderId="25" xfId="0" applyFont="1" applyBorder="1" applyAlignment="1">
      <alignment horizontal="left" vertical="top"/>
    </xf>
    <xf numFmtId="49" fontId="18" fillId="0" borderId="25" xfId="0" applyNumberFormat="1" applyFont="1" applyBorder="1" applyAlignment="1">
      <alignment horizontal="center" vertical="top"/>
    </xf>
    <xf numFmtId="0" fontId="18" fillId="0" borderId="25" xfId="0" applyFont="1" applyBorder="1" applyAlignment="1">
      <alignment horizontal="center" vertical="top"/>
    </xf>
    <xf numFmtId="0" fontId="22" fillId="0" borderId="25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/>
    </xf>
    <xf numFmtId="49" fontId="18" fillId="0" borderId="13" xfId="0" applyNumberFormat="1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22" fillId="0" borderId="13" xfId="0" applyFont="1" applyBorder="1" applyAlignment="1">
      <alignment horizontal="left" vertical="top"/>
    </xf>
    <xf numFmtId="49" fontId="18" fillId="0" borderId="21" xfId="0" applyNumberFormat="1" applyFont="1" applyBorder="1" applyAlignment="1">
      <alignment horizontal="center" vertical="top"/>
    </xf>
    <xf numFmtId="0" fontId="22" fillId="0" borderId="2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 indent="1"/>
    </xf>
    <xf numFmtId="0" fontId="18" fillId="0" borderId="15" xfId="0" applyFont="1" applyBorder="1" applyAlignment="1">
      <alignment horizontal="left" vertical="top" indent="1"/>
    </xf>
    <xf numFmtId="0" fontId="18" fillId="0" borderId="23" xfId="0" applyFont="1" applyBorder="1" applyAlignment="1">
      <alignment horizontal="left" vertical="top" indent="1"/>
    </xf>
    <xf numFmtId="0" fontId="18" fillId="0" borderId="18" xfId="0" applyFont="1" applyBorder="1" applyAlignment="1">
      <alignment horizontal="left" vertical="top" indent="1"/>
    </xf>
    <xf numFmtId="0" fontId="18" fillId="0" borderId="25" xfId="0" applyFont="1" applyBorder="1" applyAlignment="1">
      <alignment horizontal="left" vertical="top" indent="1"/>
    </xf>
    <xf numFmtId="0" fontId="24" fillId="0" borderId="0" xfId="42" applyFont="1" applyAlignment="1">
      <alignment horizontal="left"/>
    </xf>
    <xf numFmtId="0" fontId="25" fillId="0" borderId="0" xfId="42" applyFont="1" applyAlignment="1">
      <alignment horizontal="left"/>
    </xf>
    <xf numFmtId="0" fontId="26" fillId="0" borderId="0" xfId="42" applyFont="1" applyAlignment="1">
      <alignment horizontal="left"/>
    </xf>
    <xf numFmtId="0" fontId="24" fillId="0" borderId="0" xfId="42" applyFont="1" applyAlignment="1">
      <alignment horizontal="left" wrapText="1"/>
    </xf>
    <xf numFmtId="14" fontId="27" fillId="0" borderId="0" xfId="42" applyNumberFormat="1" applyFont="1" applyAlignment="1">
      <alignment horizontal="right" wrapText="1"/>
    </xf>
    <xf numFmtId="49" fontId="28" fillId="34" borderId="27" xfId="42" applyNumberFormat="1" applyFont="1" applyFill="1" applyBorder="1" applyAlignment="1">
      <alignment horizontal="center" vertical="center" wrapText="1"/>
    </xf>
    <xf numFmtId="0" fontId="21" fillId="33" borderId="27" xfId="42" applyFont="1" applyFill="1" applyBorder="1" applyAlignment="1">
      <alignment horizontal="left" vertical="center" wrapText="1" indent="1"/>
    </xf>
    <xf numFmtId="0" fontId="29" fillId="33" borderId="27" xfId="42" applyFont="1" applyFill="1" applyBorder="1" applyAlignment="1">
      <alignment horizontal="left" vertical="center" wrapText="1" indent="1"/>
    </xf>
    <xf numFmtId="49" fontId="24" fillId="0" borderId="17" xfId="42" applyNumberFormat="1" applyFont="1" applyBorder="1" applyAlignment="1">
      <alignment horizontal="left" vertical="top" wrapText="1"/>
    </xf>
    <xf numFmtId="0" fontId="24" fillId="0" borderId="18" xfId="42" applyFont="1" applyBorder="1" applyAlignment="1">
      <alignment horizontal="left" vertical="top" wrapText="1"/>
    </xf>
    <xf numFmtId="49" fontId="24" fillId="0" borderId="18" xfId="42" applyNumberFormat="1" applyFont="1" applyBorder="1" applyAlignment="1">
      <alignment horizontal="left" vertical="top" wrapText="1"/>
    </xf>
    <xf numFmtId="0" fontId="22" fillId="0" borderId="18" xfId="42" applyFont="1" applyBorder="1" applyAlignment="1">
      <alignment horizontal="left" vertical="top" wrapText="1"/>
    </xf>
    <xf numFmtId="0" fontId="24" fillId="0" borderId="19" xfId="42" applyFont="1" applyBorder="1" applyAlignment="1">
      <alignment horizontal="left" vertical="top" wrapText="1"/>
    </xf>
    <xf numFmtId="14" fontId="24" fillId="0" borderId="18" xfId="42" applyNumberFormat="1" applyFont="1" applyBorder="1" applyAlignment="1">
      <alignment horizontal="left" vertical="top" wrapText="1"/>
    </xf>
    <xf numFmtId="49" fontId="24" fillId="0" borderId="20" xfId="42" applyNumberFormat="1" applyFont="1" applyBorder="1" applyAlignment="1">
      <alignment horizontal="left" vertical="top" wrapText="1"/>
    </xf>
    <xf numFmtId="0" fontId="24" fillId="0" borderId="21" xfId="42" applyFont="1" applyBorder="1" applyAlignment="1">
      <alignment horizontal="left" vertical="top" wrapText="1"/>
    </xf>
    <xf numFmtId="49" fontId="24" fillId="0" borderId="21" xfId="42" applyNumberFormat="1" applyFont="1" applyBorder="1" applyAlignment="1">
      <alignment horizontal="left" vertical="top" wrapText="1"/>
    </xf>
    <xf numFmtId="0" fontId="22" fillId="0" borderId="21" xfId="42" applyFont="1" applyBorder="1" applyAlignment="1">
      <alignment horizontal="left" vertical="top" wrapText="1"/>
    </xf>
    <xf numFmtId="0" fontId="24" fillId="0" borderId="22" xfId="42" applyFont="1" applyBorder="1" applyAlignment="1">
      <alignment horizontal="left" vertical="top" wrapText="1"/>
    </xf>
    <xf numFmtId="164" fontId="18" fillId="0" borderId="11" xfId="0" applyNumberFormat="1" applyFont="1" applyBorder="1" applyAlignment="1">
      <alignment horizontal="left" vertical="top"/>
    </xf>
    <xf numFmtId="164" fontId="18" fillId="0" borderId="15" xfId="0" applyNumberFormat="1" applyFont="1" applyBorder="1" applyAlignment="1">
      <alignment horizontal="left" vertical="top"/>
    </xf>
    <xf numFmtId="164" fontId="18" fillId="0" borderId="23" xfId="0" applyNumberFormat="1" applyFont="1" applyBorder="1" applyAlignment="1">
      <alignment horizontal="left" vertical="top"/>
    </xf>
    <xf numFmtId="164" fontId="18" fillId="0" borderId="18" xfId="0" applyNumberFormat="1" applyFont="1" applyBorder="1" applyAlignment="1">
      <alignment horizontal="left" vertical="top"/>
    </xf>
    <xf numFmtId="164" fontId="18" fillId="0" borderId="25" xfId="0" applyNumberFormat="1" applyFont="1" applyBorder="1" applyAlignment="1">
      <alignment horizontal="left" vertical="top"/>
    </xf>
    <xf numFmtId="164" fontId="18" fillId="0" borderId="13" xfId="0" applyNumberFormat="1" applyFont="1" applyBorder="1" applyAlignment="1">
      <alignment horizontal="left" vertical="top"/>
    </xf>
    <xf numFmtId="164" fontId="18" fillId="0" borderId="21" xfId="0" applyNumberFormat="1" applyFont="1" applyBorder="1" applyAlignment="1">
      <alignment horizontal="left" vertical="top"/>
    </xf>
    <xf numFmtId="164" fontId="18" fillId="0" borderId="19" xfId="0" applyNumberFormat="1" applyFont="1" applyBorder="1" applyAlignment="1">
      <alignment horizontal="left" vertical="top"/>
    </xf>
    <xf numFmtId="164" fontId="18" fillId="0" borderId="26" xfId="0" applyNumberFormat="1" applyFont="1" applyBorder="1" applyAlignment="1">
      <alignment horizontal="left" vertical="top"/>
    </xf>
    <xf numFmtId="164" fontId="18" fillId="0" borderId="12" xfId="0" applyNumberFormat="1" applyFont="1" applyBorder="1" applyAlignment="1">
      <alignment horizontal="left" vertical="top"/>
    </xf>
    <xf numFmtId="164" fontId="18" fillId="0" borderId="16" xfId="0" applyNumberFormat="1" applyFont="1" applyBorder="1" applyAlignment="1">
      <alignment horizontal="left" vertical="top"/>
    </xf>
    <xf numFmtId="164" fontId="18" fillId="0" borderId="24" xfId="0" applyNumberFormat="1" applyFont="1" applyBorder="1" applyAlignment="1">
      <alignment horizontal="left" vertical="top"/>
    </xf>
    <xf numFmtId="164" fontId="18" fillId="0" borderId="14" xfId="0" applyNumberFormat="1" applyFont="1" applyBorder="1" applyAlignment="1">
      <alignment horizontal="left" vertical="top"/>
    </xf>
    <xf numFmtId="49" fontId="30" fillId="34" borderId="27" xfId="42" applyNumberFormat="1" applyFont="1" applyFill="1" applyBorder="1" applyAlignment="1">
      <alignment horizontal="center" vertical="center" wrapText="1"/>
    </xf>
    <xf numFmtId="0" fontId="18" fillId="36" borderId="25" xfId="0" applyFont="1" applyFill="1" applyBorder="1" applyAlignment="1">
      <alignment horizontal="left" vertical="top" indent="1"/>
    </xf>
    <xf numFmtId="0" fontId="18" fillId="36" borderId="18" xfId="0" applyFont="1" applyFill="1" applyBorder="1" applyAlignment="1">
      <alignment horizontal="left" vertical="top" indent="1"/>
    </xf>
    <xf numFmtId="0" fontId="18" fillId="36" borderId="23" xfId="0" applyFont="1" applyFill="1" applyBorder="1" applyAlignment="1">
      <alignment horizontal="left" vertical="top" indent="1"/>
    </xf>
    <xf numFmtId="0" fontId="18" fillId="37" borderId="10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top" indent="1"/>
    </xf>
    <xf numFmtId="0" fontId="31" fillId="0" borderId="15" xfId="0" applyFont="1" applyBorder="1" applyAlignment="1">
      <alignment horizontal="left" vertical="top" indent="1"/>
    </xf>
    <xf numFmtId="0" fontId="31" fillId="0" borderId="23" xfId="0" applyFont="1" applyBorder="1" applyAlignment="1">
      <alignment horizontal="left" vertical="top" indent="1"/>
    </xf>
    <xf numFmtId="0" fontId="31" fillId="0" borderId="18" xfId="0" applyFont="1" applyBorder="1" applyAlignment="1">
      <alignment horizontal="left" vertical="top" indent="1"/>
    </xf>
    <xf numFmtId="0" fontId="31" fillId="0" borderId="25" xfId="0" applyFont="1" applyBorder="1" applyAlignment="1">
      <alignment horizontal="left" vertical="top" indent="1"/>
    </xf>
    <xf numFmtId="0" fontId="31" fillId="0" borderId="11" xfId="0" quotePrefix="1" applyFont="1" applyBorder="1" applyAlignment="1">
      <alignment horizontal="left" vertical="top" indent="1"/>
    </xf>
    <xf numFmtId="0" fontId="31" fillId="0" borderId="15" xfId="0" quotePrefix="1" applyFont="1" applyBorder="1" applyAlignment="1">
      <alignment horizontal="left" vertical="top" indent="1"/>
    </xf>
    <xf numFmtId="0" fontId="31" fillId="0" borderId="23" xfId="0" quotePrefix="1" applyFont="1" applyBorder="1" applyAlignment="1">
      <alignment horizontal="left" vertical="top" indent="1"/>
    </xf>
    <xf numFmtId="0" fontId="31" fillId="0" borderId="18" xfId="0" quotePrefix="1" applyFont="1" applyBorder="1" applyAlignment="1">
      <alignment horizontal="left" vertical="top" indent="1"/>
    </xf>
    <xf numFmtId="0" fontId="31" fillId="0" borderId="25" xfId="0" quotePrefix="1" applyFont="1" applyBorder="1" applyAlignment="1">
      <alignment horizontal="left" vertical="top" indent="1"/>
    </xf>
    <xf numFmtId="0" fontId="18" fillId="38" borderId="11" xfId="0" applyFont="1" applyFill="1" applyBorder="1" applyAlignment="1">
      <alignment horizontal="left" vertical="top" indent="1"/>
    </xf>
    <xf numFmtId="0" fontId="18" fillId="38" borderId="15" xfId="0" applyFont="1" applyFill="1" applyBorder="1" applyAlignment="1">
      <alignment horizontal="left" vertical="top" indent="1"/>
    </xf>
    <xf numFmtId="0" fontId="18" fillId="38" borderId="23" xfId="0" applyFont="1" applyFill="1" applyBorder="1" applyAlignment="1">
      <alignment horizontal="left" vertical="top" indent="1"/>
    </xf>
    <xf numFmtId="0" fontId="31" fillId="39" borderId="15" xfId="0" quotePrefix="1" applyFont="1" applyFill="1" applyBorder="1" applyAlignment="1">
      <alignment horizontal="left" vertical="top" indent="1"/>
    </xf>
    <xf numFmtId="0" fontId="31" fillId="39" borderId="11" xfId="0" applyFont="1" applyFill="1" applyBorder="1" applyAlignment="1">
      <alignment horizontal="left" vertical="top" indent="1"/>
    </xf>
    <xf numFmtId="0" fontId="31" fillId="39" borderId="11" xfId="0" quotePrefix="1" applyFont="1" applyFill="1" applyBorder="1" applyAlignment="1">
      <alignment horizontal="left" vertical="top" indent="1"/>
    </xf>
    <xf numFmtId="14" fontId="31" fillId="39" borderId="11" xfId="0" applyNumberFormat="1" applyFont="1" applyFill="1" applyBorder="1" applyAlignment="1">
      <alignment horizontal="left" vertical="top" indent="1"/>
    </xf>
    <xf numFmtId="0" fontId="31" fillId="39" borderId="15" xfId="0" applyFont="1" applyFill="1" applyBorder="1" applyAlignment="1">
      <alignment horizontal="left" vertical="top" indent="1"/>
    </xf>
    <xf numFmtId="0" fontId="31" fillId="0" borderId="15" xfId="0" quotePrefix="1" applyFont="1" applyBorder="1" applyAlignment="1">
      <alignment horizontal="center" vertical="top"/>
    </xf>
    <xf numFmtId="0" fontId="31" fillId="39" borderId="15" xfId="0" quotePrefix="1" applyFont="1" applyFill="1" applyBorder="1" applyAlignment="1">
      <alignment horizontal="center" vertical="top"/>
    </xf>
    <xf numFmtId="0" fontId="31" fillId="39" borderId="23" xfId="0" applyFont="1" applyFill="1" applyBorder="1" applyAlignment="1">
      <alignment horizontal="left" vertical="top" indent="1"/>
    </xf>
    <xf numFmtId="0" fontId="31" fillId="39" borderId="23" xfId="0" quotePrefix="1" applyFont="1" applyFill="1" applyBorder="1" applyAlignment="1">
      <alignment horizontal="left" vertical="top" indent="1"/>
    </xf>
    <xf numFmtId="0" fontId="31" fillId="39" borderId="18" xfId="0" applyFont="1" applyFill="1" applyBorder="1" applyAlignment="1">
      <alignment horizontal="left" vertical="top" indent="1"/>
    </xf>
    <xf numFmtId="0" fontId="31" fillId="39" borderId="18" xfId="0" quotePrefix="1" applyFont="1" applyFill="1" applyBorder="1" applyAlignment="1">
      <alignment horizontal="left" vertical="top" indent="1"/>
    </xf>
    <xf numFmtId="0" fontId="31" fillId="39" borderId="25" xfId="0" applyFont="1" applyFill="1" applyBorder="1" applyAlignment="1">
      <alignment horizontal="left" vertical="top" indent="1"/>
    </xf>
    <xf numFmtId="0" fontId="31" fillId="39" borderId="25" xfId="0" quotePrefix="1" applyFont="1" applyFill="1" applyBorder="1" applyAlignment="1">
      <alignment horizontal="left" vertical="top" indent="1"/>
    </xf>
    <xf numFmtId="0" fontId="18" fillId="40" borderId="11" xfId="0" applyFont="1" applyFill="1" applyBorder="1" applyAlignment="1">
      <alignment horizontal="left" vertical="top" indent="1"/>
    </xf>
    <xf numFmtId="14" fontId="18" fillId="38" borderId="25" xfId="0" applyNumberFormat="1" applyFont="1" applyFill="1" applyBorder="1" applyAlignment="1">
      <alignment horizontal="left" vertical="top" indent="1"/>
    </xf>
    <xf numFmtId="0" fontId="18" fillId="38" borderId="18" xfId="0" applyFont="1" applyFill="1" applyBorder="1" applyAlignment="1">
      <alignment horizontal="left" vertical="top" indent="1"/>
    </xf>
    <xf numFmtId="0" fontId="31" fillId="35" borderId="18" xfId="0" applyFont="1" applyFill="1" applyBorder="1" applyAlignment="1">
      <alignment horizontal="left" vertical="top" indent="1"/>
    </xf>
    <xf numFmtId="0" fontId="31" fillId="35" borderId="18" xfId="0" quotePrefix="1" applyFont="1" applyFill="1" applyBorder="1" applyAlignment="1">
      <alignment horizontal="left" vertical="top" indent="1"/>
    </xf>
    <xf numFmtId="0" fontId="31" fillId="39" borderId="25" xfId="0" quotePrefix="1" applyFont="1" applyFill="1" applyBorder="1" applyAlignment="1">
      <alignment horizontal="center" vertical="top"/>
    </xf>
    <xf numFmtId="0" fontId="32" fillId="0" borderId="18" xfId="0" applyFont="1" applyBorder="1" applyAlignment="1">
      <alignment horizontal="left" vertical="top" indent="1"/>
    </xf>
    <xf numFmtId="14" fontId="31" fillId="39" borderId="15" xfId="0" applyNumberFormat="1" applyFont="1" applyFill="1" applyBorder="1" applyAlignment="1">
      <alignment horizontal="left" vertical="top" indent="1"/>
    </xf>
    <xf numFmtId="49" fontId="34" fillId="0" borderId="15" xfId="0" applyNumberFormat="1" applyFont="1" applyBorder="1" applyAlignment="1">
      <alignment horizontal="center" vertical="top"/>
    </xf>
    <xf numFmtId="0" fontId="34" fillId="0" borderId="15" xfId="0" applyFont="1" applyBorder="1" applyAlignment="1">
      <alignment horizontal="center" vertical="top"/>
    </xf>
    <xf numFmtId="0" fontId="34" fillId="0" borderId="15" xfId="0" applyFont="1" applyBorder="1" applyAlignment="1">
      <alignment horizontal="left" vertical="top"/>
    </xf>
    <xf numFmtId="49" fontId="34" fillId="0" borderId="23" xfId="0" applyNumberFormat="1" applyFont="1" applyBorder="1" applyAlignment="1">
      <alignment horizontal="center" vertical="top"/>
    </xf>
    <xf numFmtId="0" fontId="34" fillId="0" borderId="23" xfId="0" applyFont="1" applyBorder="1" applyAlignment="1">
      <alignment horizontal="center" vertical="top"/>
    </xf>
    <xf numFmtId="0" fontId="34" fillId="0" borderId="23" xfId="0" applyFont="1" applyBorder="1" applyAlignment="1">
      <alignment horizontal="left" vertical="top"/>
    </xf>
    <xf numFmtId="49" fontId="34" fillId="0" borderId="18" xfId="0" applyNumberFormat="1" applyFont="1" applyBorder="1" applyAlignment="1">
      <alignment horizontal="center" vertical="top"/>
    </xf>
    <xf numFmtId="0" fontId="34" fillId="0" borderId="18" xfId="0" applyFont="1" applyBorder="1" applyAlignment="1">
      <alignment horizontal="center" vertical="top"/>
    </xf>
    <xf numFmtId="0" fontId="34" fillId="0" borderId="18" xfId="0" applyFont="1" applyBorder="1" applyAlignment="1">
      <alignment horizontal="left" vertical="top"/>
    </xf>
    <xf numFmtId="49" fontId="34" fillId="0" borderId="25" xfId="0" applyNumberFormat="1" applyFont="1" applyBorder="1" applyAlignment="1">
      <alignment horizontal="center" vertical="top"/>
    </xf>
    <xf numFmtId="0" fontId="34" fillId="0" borderId="25" xfId="0" applyFont="1" applyBorder="1" applyAlignment="1">
      <alignment horizontal="center" vertical="top"/>
    </xf>
    <xf numFmtId="0" fontId="34" fillId="0" borderId="25" xfId="0" applyFont="1" applyBorder="1" applyAlignment="1">
      <alignment horizontal="left" vertical="top"/>
    </xf>
    <xf numFmtId="0" fontId="34" fillId="0" borderId="15" xfId="0" applyFont="1" applyBorder="1" applyAlignment="1">
      <alignment horizontal="left" vertical="top" indent="1"/>
    </xf>
    <xf numFmtId="0" fontId="34" fillId="0" borderId="15" xfId="0" quotePrefix="1" applyFont="1" applyBorder="1" applyAlignment="1">
      <alignment horizontal="left" vertical="top" indent="1"/>
    </xf>
    <xf numFmtId="0" fontId="34" fillId="0" borderId="23" xfId="0" applyFont="1" applyBorder="1" applyAlignment="1">
      <alignment horizontal="left" vertical="top" indent="1"/>
    </xf>
    <xf numFmtId="0" fontId="34" fillId="0" borderId="23" xfId="0" quotePrefix="1" applyFont="1" applyBorder="1" applyAlignment="1">
      <alignment horizontal="left" vertical="top" indent="1"/>
    </xf>
    <xf numFmtId="0" fontId="34" fillId="0" borderId="18" xfId="0" applyFont="1" applyBorder="1" applyAlignment="1">
      <alignment horizontal="left" vertical="top" indent="1"/>
    </xf>
    <xf numFmtId="0" fontId="34" fillId="0" borderId="18" xfId="0" quotePrefix="1" applyFont="1" applyBorder="1" applyAlignment="1">
      <alignment horizontal="left" vertical="top" indent="1"/>
    </xf>
    <xf numFmtId="0" fontId="34" fillId="0" borderId="25" xfId="0" applyFont="1" applyBorder="1" applyAlignment="1">
      <alignment horizontal="left" vertical="top" indent="1"/>
    </xf>
    <xf numFmtId="0" fontId="34" fillId="0" borderId="25" xfId="0" quotePrefix="1" applyFont="1" applyBorder="1" applyAlignment="1">
      <alignment horizontal="left" vertical="top" indent="1"/>
    </xf>
    <xf numFmtId="164" fontId="30" fillId="0" borderId="16" xfId="0" applyNumberFormat="1" applyFont="1" applyBorder="1" applyAlignment="1">
      <alignment horizontal="center" vertical="top"/>
    </xf>
    <xf numFmtId="14" fontId="31" fillId="39" borderId="23" xfId="0" applyNumberFormat="1" applyFont="1" applyFill="1" applyBorder="1" applyAlignment="1">
      <alignment horizontal="left" vertical="top" indent="1"/>
    </xf>
    <xf numFmtId="0" fontId="31" fillId="39" borderId="18" xfId="0" quotePrefix="1" applyFont="1" applyFill="1" applyBorder="1" applyAlignment="1">
      <alignment horizontal="center" vertical="top"/>
    </xf>
    <xf numFmtId="14" fontId="31" fillId="39" borderId="18" xfId="0" applyNumberFormat="1" applyFont="1" applyFill="1" applyBorder="1" applyAlignment="1">
      <alignment horizontal="left" vertical="top" indent="1"/>
    </xf>
    <xf numFmtId="49" fontId="18" fillId="35" borderId="18" xfId="0" applyNumberFormat="1" applyFont="1" applyFill="1" applyBorder="1" applyAlignment="1">
      <alignment horizontal="center" vertical="top"/>
    </xf>
    <xf numFmtId="0" fontId="18" fillId="38" borderId="25" xfId="0" applyFont="1" applyFill="1" applyBorder="1" applyAlignment="1">
      <alignment horizontal="left" vertical="top" indent="1"/>
    </xf>
    <xf numFmtId="0" fontId="18" fillId="38" borderId="0" xfId="0" applyFont="1" applyFill="1" applyAlignment="1">
      <alignment horizontal="left" vertical="top" indent="1"/>
    </xf>
    <xf numFmtId="0" fontId="18" fillId="36" borderId="11" xfId="0" applyFont="1" applyFill="1" applyBorder="1" applyAlignment="1">
      <alignment horizontal="left" vertical="top" indent="1"/>
    </xf>
    <xf numFmtId="0" fontId="18" fillId="36" borderId="15" xfId="0" applyFont="1" applyFill="1" applyBorder="1" applyAlignment="1">
      <alignment horizontal="left" vertical="top" indent="1"/>
    </xf>
    <xf numFmtId="14" fontId="18" fillId="39" borderId="18" xfId="0" applyNumberFormat="1" applyFont="1" applyFill="1" applyBorder="1" applyAlignment="1">
      <alignment horizontal="left" vertical="top" indent="1"/>
    </xf>
    <xf numFmtId="0" fontId="18" fillId="40" borderId="18" xfId="0" applyFont="1" applyFill="1" applyBorder="1" applyAlignment="1">
      <alignment horizontal="left" vertical="top" indent="1"/>
    </xf>
    <xf numFmtId="0" fontId="31" fillId="38" borderId="18" xfId="0" quotePrefix="1" applyFont="1" applyFill="1" applyBorder="1" applyAlignment="1">
      <alignment horizontal="left" vertical="top" indent="1"/>
    </xf>
    <xf numFmtId="14" fontId="18" fillId="0" borderId="18" xfId="0" applyNumberFormat="1" applyFont="1" applyBorder="1" applyAlignment="1">
      <alignment horizontal="left" vertical="top" indent="1"/>
    </xf>
    <xf numFmtId="0" fontId="18" fillId="41" borderId="18" xfId="0" applyFont="1" applyFill="1" applyBorder="1" applyAlignment="1">
      <alignment horizontal="left" vertical="top" indent="1"/>
    </xf>
    <xf numFmtId="0" fontId="18" fillId="38" borderId="21" xfId="0" applyFont="1" applyFill="1" applyBorder="1" applyAlignment="1">
      <alignment horizontal="left" vertical="top" indent="1"/>
    </xf>
    <xf numFmtId="0" fontId="32" fillId="38" borderId="18" xfId="0" applyFont="1" applyFill="1" applyBorder="1" applyAlignment="1">
      <alignment horizontal="left" vertical="top" indent="1"/>
    </xf>
    <xf numFmtId="14" fontId="18" fillId="38" borderId="18" xfId="0" applyNumberFormat="1" applyFont="1" applyFill="1" applyBorder="1" applyAlignment="1">
      <alignment horizontal="left" vertical="top" indent="1"/>
    </xf>
    <xf numFmtId="14" fontId="32" fillId="0" borderId="18" xfId="0" applyNumberFormat="1" applyFont="1" applyBorder="1" applyAlignment="1">
      <alignment horizontal="left" vertical="top" indent="1"/>
    </xf>
    <xf numFmtId="14" fontId="18" fillId="0" borderId="23" xfId="0" applyNumberFormat="1" applyFont="1" applyBorder="1" applyAlignment="1">
      <alignment horizontal="left" vertical="top" indent="1"/>
    </xf>
    <xf numFmtId="14" fontId="33" fillId="0" borderId="18" xfId="0" applyNumberFormat="1" applyFont="1" applyBorder="1" applyAlignment="1">
      <alignment horizontal="left" vertical="top" indent="1"/>
    </xf>
    <xf numFmtId="0" fontId="31" fillId="0" borderId="11" xfId="0" quotePrefix="1" applyFont="1" applyBorder="1" applyAlignment="1">
      <alignment horizontal="center" vertical="top"/>
    </xf>
    <xf numFmtId="0" fontId="31" fillId="39" borderId="0" xfId="0" applyFont="1" applyFill="1" applyAlignment="1">
      <alignment horizontal="left" vertical="top" indent="1"/>
    </xf>
    <xf numFmtId="0" fontId="31" fillId="0" borderId="18" xfId="0" quotePrefix="1" applyFont="1" applyBorder="1" applyAlignment="1">
      <alignment horizontal="center" vertical="top"/>
    </xf>
    <xf numFmtId="0" fontId="31" fillId="0" borderId="23" xfId="0" quotePrefix="1" applyFont="1" applyBorder="1" applyAlignment="1">
      <alignment horizontal="center" vertical="top"/>
    </xf>
    <xf numFmtId="14" fontId="31" fillId="39" borderId="25" xfId="0" applyNumberFormat="1" applyFont="1" applyFill="1" applyBorder="1" applyAlignment="1">
      <alignment horizontal="left" vertical="top" indent="1"/>
    </xf>
    <xf numFmtId="0" fontId="31" fillId="39" borderId="11" xfId="0" applyFont="1" applyFill="1" applyBorder="1" applyAlignment="1">
      <alignment horizontal="center" vertical="top"/>
    </xf>
    <xf numFmtId="14" fontId="31" fillId="42" borderId="18" xfId="0" applyNumberFormat="1" applyFont="1" applyFill="1" applyBorder="1" applyAlignment="1">
      <alignment horizontal="left" vertical="top" indent="1"/>
    </xf>
    <xf numFmtId="0" fontId="31" fillId="39" borderId="13" xfId="0" applyFont="1" applyFill="1" applyBorder="1" applyAlignment="1">
      <alignment horizontal="left" vertical="top" indent="1"/>
    </xf>
    <xf numFmtId="0" fontId="31" fillId="0" borderId="25" xfId="0" quotePrefix="1" applyFont="1" applyBorder="1" applyAlignment="1">
      <alignment horizontal="center" vertical="top"/>
    </xf>
    <xf numFmtId="14" fontId="31" fillId="0" borderId="18" xfId="0" applyNumberFormat="1" applyFont="1" applyBorder="1" applyAlignment="1">
      <alignment horizontal="left" vertical="top" indent="1"/>
    </xf>
    <xf numFmtId="0" fontId="31" fillId="35" borderId="23" xfId="0" applyFont="1" applyFill="1" applyBorder="1" applyAlignment="1">
      <alignment horizontal="left" vertical="top" indent="1"/>
    </xf>
    <xf numFmtId="0" fontId="31" fillId="39" borderId="23" xfId="0" quotePrefix="1" applyFont="1" applyFill="1" applyBorder="1" applyAlignment="1">
      <alignment horizontal="center" vertical="top"/>
    </xf>
    <xf numFmtId="0" fontId="31" fillId="39" borderId="0" xfId="0" quotePrefix="1" applyFont="1" applyFill="1" applyAlignment="1">
      <alignment horizontal="left" vertical="top" indent="1"/>
    </xf>
    <xf numFmtId="0" fontId="31" fillId="39" borderId="11" xfId="0" quotePrefix="1" applyFont="1" applyFill="1" applyBorder="1" applyAlignment="1">
      <alignment horizontal="center" vertical="top"/>
    </xf>
    <xf numFmtId="14" fontId="31" fillId="39" borderId="18" xfId="0" quotePrefix="1" applyNumberFormat="1" applyFont="1" applyFill="1" applyBorder="1" applyAlignment="1">
      <alignment horizontal="left" vertical="top" indent="1"/>
    </xf>
    <xf numFmtId="0" fontId="31" fillId="42" borderId="18" xfId="0" quotePrefix="1" applyFont="1" applyFill="1" applyBorder="1" applyAlignment="1">
      <alignment horizontal="left" vertical="top" indent="1"/>
    </xf>
    <xf numFmtId="0" fontId="31" fillId="39" borderId="13" xfId="0" quotePrefix="1" applyFont="1" applyFill="1" applyBorder="1" applyAlignment="1">
      <alignment horizontal="left" vertical="top" indent="1"/>
    </xf>
    <xf numFmtId="0" fontId="31" fillId="35" borderId="23" xfId="0" quotePrefix="1" applyFont="1" applyFill="1" applyBorder="1" applyAlignment="1">
      <alignment horizontal="left" vertical="top" indent="1"/>
    </xf>
    <xf numFmtId="0" fontId="18" fillId="0" borderId="0" xfId="0" applyFont="1" applyAlignment="1">
      <alignment horizontal="left" vertical="top"/>
    </xf>
    <xf numFmtId="0" fontId="18" fillId="0" borderId="23" xfId="0" applyFont="1" applyBorder="1"/>
    <xf numFmtId="0" fontId="18" fillId="0" borderId="18" xfId="0" applyFont="1" applyBorder="1"/>
    <xf numFmtId="0" fontId="18" fillId="0" borderId="16" xfId="0" applyFont="1" applyBorder="1"/>
    <xf numFmtId="164" fontId="18" fillId="0" borderId="0" xfId="0" applyNumberFormat="1" applyFont="1" applyAlignment="1">
      <alignment horizontal="left" vertical="top"/>
    </xf>
    <xf numFmtId="0" fontId="18" fillId="0" borderId="19" xfId="0" applyFont="1" applyBorder="1"/>
    <xf numFmtId="164" fontId="30" fillId="0" borderId="19" xfId="0" applyNumberFormat="1" applyFont="1" applyBorder="1" applyAlignment="1">
      <alignment horizontal="center" vertical="top"/>
    </xf>
    <xf numFmtId="164" fontId="30" fillId="0" borderId="26" xfId="0" applyNumberFormat="1" applyFont="1" applyBorder="1" applyAlignment="1">
      <alignment horizontal="center" vertical="top"/>
    </xf>
    <xf numFmtId="14" fontId="31" fillId="39" borderId="18" xfId="0" quotePrefix="1" applyNumberFormat="1" applyFont="1" applyFill="1" applyBorder="1" applyAlignment="1">
      <alignment horizontal="center" vertical="top"/>
    </xf>
    <xf numFmtId="0" fontId="31" fillId="0" borderId="15" xfId="0" applyFont="1" applyBorder="1" applyAlignment="1">
      <alignment horizontal="center" vertical="top"/>
    </xf>
    <xf numFmtId="0" fontId="31" fillId="0" borderId="23" xfId="0" applyFont="1" applyBorder="1" applyAlignment="1">
      <alignment horizontal="center" vertical="top"/>
    </xf>
    <xf numFmtId="14" fontId="18" fillId="0" borderId="15" xfId="0" applyNumberFormat="1" applyFont="1" applyBorder="1" applyAlignment="1">
      <alignment horizontal="left" vertical="top" indent="1"/>
    </xf>
    <xf numFmtId="0" fontId="18" fillId="43" borderId="23" xfId="0" applyFont="1" applyFill="1" applyBorder="1" applyAlignment="1">
      <alignment horizontal="left" vertical="top" indent="1"/>
    </xf>
    <xf numFmtId="0" fontId="18" fillId="43" borderId="18" xfId="0" applyFont="1" applyFill="1" applyBorder="1" applyAlignment="1">
      <alignment horizontal="left" vertical="top" indent="1"/>
    </xf>
    <xf numFmtId="14" fontId="18" fillId="43" borderId="18" xfId="0" applyNumberFormat="1" applyFont="1" applyFill="1" applyBorder="1" applyAlignment="1">
      <alignment horizontal="left" vertical="top" indent="1"/>
    </xf>
    <xf numFmtId="14" fontId="18" fillId="43" borderId="25" xfId="0" applyNumberFormat="1" applyFont="1" applyFill="1" applyBorder="1" applyAlignment="1">
      <alignment horizontal="left" vertical="top" indent="1"/>
    </xf>
    <xf numFmtId="14" fontId="18" fillId="38" borderId="11" xfId="0" applyNumberFormat="1" applyFont="1" applyFill="1" applyBorder="1" applyAlignment="1">
      <alignment horizontal="left" vertical="top" indent="1"/>
    </xf>
    <xf numFmtId="0" fontId="18" fillId="44" borderId="18" xfId="0" applyFont="1" applyFill="1" applyBorder="1" applyAlignment="1">
      <alignment horizontal="left" vertical="top" indent="1"/>
    </xf>
    <xf numFmtId="14" fontId="18" fillId="38" borderId="21" xfId="0" applyNumberFormat="1" applyFont="1" applyFill="1" applyBorder="1" applyAlignment="1">
      <alignment horizontal="left" vertical="top" indent="1"/>
    </xf>
    <xf numFmtId="14" fontId="18" fillId="35" borderId="21" xfId="0" applyNumberFormat="1" applyFont="1" applyFill="1" applyBorder="1" applyAlignment="1">
      <alignment horizontal="left" vertical="top" indent="1"/>
    </xf>
    <xf numFmtId="14" fontId="18" fillId="44" borderId="21" xfId="0" applyNumberFormat="1" applyFont="1" applyFill="1" applyBorder="1" applyAlignment="1">
      <alignment horizontal="left" vertical="top" indent="1"/>
    </xf>
    <xf numFmtId="0" fontId="18" fillId="44" borderId="21" xfId="0" applyFont="1" applyFill="1" applyBorder="1" applyAlignment="1">
      <alignment horizontal="left" vertical="top" indent="1"/>
    </xf>
    <xf numFmtId="14" fontId="31" fillId="39" borderId="21" xfId="0" applyNumberFormat="1" applyFont="1" applyFill="1" applyBorder="1" applyAlignment="1">
      <alignment horizontal="left" vertical="top" indent="1"/>
    </xf>
    <xf numFmtId="0" fontId="18" fillId="0" borderId="30" xfId="0" applyFont="1" applyBorder="1" applyAlignment="1">
      <alignment horizontal="left" vertical="top"/>
    </xf>
    <xf numFmtId="0" fontId="18" fillId="0" borderId="31" xfId="0" applyFont="1" applyBorder="1" applyAlignment="1">
      <alignment horizontal="left" vertical="top"/>
    </xf>
    <xf numFmtId="0" fontId="31" fillId="39" borderId="32" xfId="0" quotePrefix="1" applyFont="1" applyFill="1" applyBorder="1" applyAlignment="1">
      <alignment horizontal="left" vertical="top" indent="1"/>
    </xf>
    <xf numFmtId="0" fontId="31" fillId="35" borderId="32" xfId="0" quotePrefix="1" applyFont="1" applyFill="1" applyBorder="1" applyAlignment="1">
      <alignment horizontal="left" vertical="top" indent="1"/>
    </xf>
    <xf numFmtId="0" fontId="18" fillId="35" borderId="32" xfId="0" applyFont="1" applyFill="1" applyBorder="1"/>
    <xf numFmtId="14" fontId="31" fillId="35" borderId="32" xfId="0" applyNumberFormat="1" applyFont="1" applyFill="1" applyBorder="1" applyAlignment="1">
      <alignment horizontal="left" vertical="top" indent="1"/>
    </xf>
    <xf numFmtId="14" fontId="18" fillId="38" borderId="29" xfId="0" applyNumberFormat="1" applyFont="1" applyFill="1" applyBorder="1" applyAlignment="1">
      <alignment horizontal="left" vertical="top" indent="1"/>
    </xf>
    <xf numFmtId="14" fontId="18" fillId="0" borderId="28" xfId="0" applyNumberFormat="1" applyFont="1" applyBorder="1" applyAlignment="1">
      <alignment horizontal="left" vertical="top" indent="1"/>
    </xf>
    <xf numFmtId="14" fontId="18" fillId="35" borderId="29" xfId="0" applyNumberFormat="1" applyFont="1" applyFill="1" applyBorder="1" applyAlignment="1">
      <alignment horizontal="left" vertical="top" indent="1"/>
    </xf>
    <xf numFmtId="0" fontId="31" fillId="45" borderId="15" xfId="0" applyFont="1" applyFill="1" applyBorder="1" applyAlignment="1">
      <alignment horizontal="left" vertical="top" indent="1"/>
    </xf>
    <xf numFmtId="0" fontId="31" fillId="45" borderId="15" xfId="0" quotePrefix="1" applyFont="1" applyFill="1" applyBorder="1" applyAlignment="1">
      <alignment horizontal="left" vertical="top" indent="1"/>
    </xf>
    <xf numFmtId="14" fontId="31" fillId="45" borderId="18" xfId="0" applyNumberFormat="1" applyFont="1" applyFill="1" applyBorder="1" applyAlignment="1">
      <alignment horizontal="left" vertical="top" indent="1"/>
    </xf>
    <xf numFmtId="0" fontId="31" fillId="45" borderId="18" xfId="0" quotePrefix="1" applyFont="1" applyFill="1" applyBorder="1" applyAlignment="1">
      <alignment horizontal="left" vertical="top" indent="1"/>
    </xf>
    <xf numFmtId="0" fontId="31" fillId="45" borderId="11" xfId="0" applyFont="1" applyFill="1" applyBorder="1" applyAlignment="1">
      <alignment horizontal="left" vertical="top" indent="1"/>
    </xf>
    <xf numFmtId="0" fontId="31" fillId="45" borderId="11" xfId="0" quotePrefix="1" applyFont="1" applyFill="1" applyBorder="1" applyAlignment="1">
      <alignment horizontal="left" vertical="top" indent="1"/>
    </xf>
    <xf numFmtId="14" fontId="18" fillId="45" borderId="18" xfId="0" applyNumberFormat="1" applyFont="1" applyFill="1" applyBorder="1" applyAlignment="1">
      <alignment horizontal="center" vertical="top"/>
    </xf>
    <xf numFmtId="0" fontId="31" fillId="45" borderId="18" xfId="0" quotePrefix="1" applyFont="1" applyFill="1" applyBorder="1" applyAlignment="1">
      <alignment horizontal="center" vertical="top"/>
    </xf>
    <xf numFmtId="0" fontId="31" fillId="45" borderId="25" xfId="0" applyFont="1" applyFill="1" applyBorder="1" applyAlignment="1">
      <alignment horizontal="left" vertical="top" indent="1"/>
    </xf>
    <xf numFmtId="0" fontId="31" fillId="45" borderId="25" xfId="0" quotePrefix="1" applyFont="1" applyFill="1" applyBorder="1" applyAlignment="1">
      <alignment horizontal="left" vertical="top" indent="1"/>
    </xf>
    <xf numFmtId="0" fontId="18" fillId="41" borderId="15" xfId="0" applyFont="1" applyFill="1" applyBorder="1" applyAlignment="1">
      <alignment horizontal="left" vertical="top" indent="1"/>
    </xf>
    <xf numFmtId="0" fontId="18" fillId="41" borderId="11" xfId="0" applyFont="1" applyFill="1" applyBorder="1" applyAlignment="1">
      <alignment horizontal="left" vertical="top" indent="1"/>
    </xf>
    <xf numFmtId="0" fontId="19" fillId="33" borderId="32" xfId="0" applyFont="1" applyFill="1" applyBorder="1" applyAlignment="1">
      <alignment horizontal="center" vertical="center" wrapText="1"/>
    </xf>
    <xf numFmtId="0" fontId="18" fillId="33" borderId="32" xfId="0" applyFont="1" applyFill="1" applyBorder="1" applyAlignment="1">
      <alignment horizontal="center" vertical="center" wrapText="1"/>
    </xf>
    <xf numFmtId="0" fontId="18" fillId="33" borderId="32" xfId="0" applyFont="1" applyFill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top"/>
    </xf>
    <xf numFmtId="0" fontId="18" fillId="0" borderId="32" xfId="0" applyFont="1" applyBorder="1" applyAlignment="1">
      <alignment horizontal="center" vertical="top"/>
    </xf>
    <xf numFmtId="0" fontId="18" fillId="0" borderId="32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 indent="1"/>
    </xf>
    <xf numFmtId="0" fontId="18" fillId="0" borderId="32" xfId="0" applyFont="1" applyBorder="1"/>
    <xf numFmtId="0" fontId="31" fillId="0" borderId="32" xfId="0" quotePrefix="1" applyFont="1" applyBorder="1" applyAlignment="1">
      <alignment horizontal="left" vertical="top" indent="1"/>
    </xf>
    <xf numFmtId="0" fontId="18" fillId="36" borderId="32" xfId="0" applyFont="1" applyFill="1" applyBorder="1" applyAlignment="1">
      <alignment horizontal="left" vertical="top" indent="1"/>
    </xf>
    <xf numFmtId="0" fontId="18" fillId="38" borderId="13" xfId="0" applyFont="1" applyFill="1" applyBorder="1" applyAlignment="1">
      <alignment horizontal="left" vertical="top" indent="1"/>
    </xf>
    <xf numFmtId="14" fontId="18" fillId="38" borderId="28" xfId="0" applyNumberFormat="1" applyFont="1" applyFill="1" applyBorder="1" applyAlignment="1">
      <alignment horizontal="left" vertical="top" inden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microsoft.com/office/2006/relationships/wsSortMap" Target="wsSortMap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CCFFCC"/>
  </sheetPr>
  <dimension ref="A1:R595"/>
  <sheetViews>
    <sheetView tabSelected="1" workbookViewId="0">
      <pane ySplit="1" topLeftCell="A2" activePane="bottomLeft" state="frozen"/>
      <selection pane="bottomLeft" activeCell="M205" sqref="M205:O205"/>
    </sheetView>
  </sheetViews>
  <sheetFormatPr defaultRowHeight="12" x14ac:dyDescent="0.2"/>
  <cols>
    <col min="1" max="1" width="9.140625" style="1" customWidth="1"/>
    <col min="2" max="2" width="7.42578125" style="1" customWidth="1"/>
    <col min="3" max="3" width="7.85546875" style="1" customWidth="1"/>
    <col min="4" max="4" width="16.5703125" style="1" customWidth="1"/>
    <col min="5" max="5" width="17.140625" style="1" customWidth="1"/>
    <col min="6" max="6" width="33.7109375" style="1" hidden="1" customWidth="1"/>
    <col min="7" max="7" width="23.7109375" style="1" hidden="1" customWidth="1"/>
    <col min="8" max="8" width="12.7109375" style="1" hidden="1" customWidth="1"/>
    <col min="9" max="9" width="10" style="1" hidden="1" customWidth="1"/>
    <col min="10" max="10" width="19.140625" style="1" customWidth="1"/>
    <col min="11" max="11" width="12.7109375" style="1" customWidth="1"/>
    <col min="12" max="12" width="12.42578125" style="1" customWidth="1"/>
    <col min="13" max="13" width="14.5703125" style="1" customWidth="1"/>
    <col min="14" max="14" width="13.28515625" style="1" customWidth="1"/>
    <col min="15" max="15" width="13.7109375" style="1" customWidth="1"/>
    <col min="16" max="16" width="49.42578125" style="1" customWidth="1"/>
    <col min="17" max="17" width="42" style="1" customWidth="1"/>
    <col min="18" max="18" width="38.5703125" style="1" customWidth="1"/>
    <col min="19" max="16384" width="9.140625" style="1"/>
  </cols>
  <sheetData>
    <row r="1" spans="1:18" ht="60" x14ac:dyDescent="0.2">
      <c r="A1" s="10" t="s">
        <v>387</v>
      </c>
      <c r="B1" s="9" t="s">
        <v>388</v>
      </c>
      <c r="C1" s="9" t="s">
        <v>720</v>
      </c>
      <c r="D1" s="11" t="s">
        <v>389</v>
      </c>
      <c r="E1" s="11" t="s">
        <v>721</v>
      </c>
      <c r="F1" s="77" t="s">
        <v>732</v>
      </c>
      <c r="G1" s="77" t="s">
        <v>733</v>
      </c>
      <c r="H1" s="12" t="s">
        <v>722</v>
      </c>
      <c r="I1" s="13" t="s">
        <v>723</v>
      </c>
      <c r="J1" s="9" t="s">
        <v>724</v>
      </c>
      <c r="K1" s="9" t="s">
        <v>725</v>
      </c>
      <c r="L1" s="9" t="s">
        <v>726</v>
      </c>
      <c r="M1" s="81" t="s">
        <v>1391</v>
      </c>
      <c r="N1" s="81" t="s">
        <v>1390</v>
      </c>
      <c r="O1" s="81" t="s">
        <v>1389</v>
      </c>
      <c r="P1" s="9" t="s">
        <v>390</v>
      </c>
      <c r="Q1" s="9" t="s">
        <v>391</v>
      </c>
      <c r="R1" s="77" t="s">
        <v>727</v>
      </c>
    </row>
    <row r="2" spans="1:18" hidden="1" x14ac:dyDescent="0.2">
      <c r="A2" s="15" t="s">
        <v>175</v>
      </c>
      <c r="B2" s="16" t="s">
        <v>2</v>
      </c>
      <c r="C2" s="16" t="s">
        <v>3</v>
      </c>
      <c r="D2" s="14" t="s">
        <v>176</v>
      </c>
      <c r="E2" s="14">
        <v>2024</v>
      </c>
      <c r="F2" s="14" t="str">
        <f>VLOOKUP(I2,'Трансп. каталог'!$F$3:$I$743,2,0)</f>
        <v>28.12.2024</v>
      </c>
      <c r="G2" s="64" t="str">
        <f>VLOOKUP(I2,'Трансп. каталог'!$F$3:$I$743,3,0)</f>
        <v>С 1 марта по 15 апреля 2025 года</v>
      </c>
      <c r="H2" s="15" t="s">
        <v>392</v>
      </c>
      <c r="I2" s="17" t="str">
        <f t="shared" ref="I2:I18" si="0">CONCATENATE(A2,H2)</f>
        <v>060100901012024</v>
      </c>
      <c r="J2" s="92" t="s">
        <v>511</v>
      </c>
      <c r="K2" s="92" t="s">
        <v>544</v>
      </c>
      <c r="L2" s="92" t="s">
        <v>647</v>
      </c>
      <c r="M2" s="96" t="s">
        <v>544</v>
      </c>
      <c r="N2" s="97" t="s">
        <v>499</v>
      </c>
      <c r="O2" s="97" t="s">
        <v>547</v>
      </c>
      <c r="P2" s="14" t="s">
        <v>177</v>
      </c>
      <c r="Q2" s="14" t="s">
        <v>78</v>
      </c>
      <c r="R2" s="73">
        <f>VLOOKUP(I2,'Трансп. каталог'!$F$3:$I$743,4,0)</f>
        <v>0</v>
      </c>
    </row>
    <row r="3" spans="1:18" hidden="1" x14ac:dyDescent="0.2">
      <c r="A3" s="18" t="s">
        <v>241</v>
      </c>
      <c r="B3" s="3" t="s">
        <v>2</v>
      </c>
      <c r="C3" s="3" t="s">
        <v>3</v>
      </c>
      <c r="D3" s="2" t="s">
        <v>242</v>
      </c>
      <c r="E3" s="2">
        <v>2024</v>
      </c>
      <c r="F3" s="2" t="e">
        <f>VLOOKUP(I3,'Трансп. каталог'!$F$3:$I$743,2,0)</f>
        <v>#N/A</v>
      </c>
      <c r="G3" s="65" t="e">
        <f>VLOOKUP(I3,'Трансп. каталог'!$F$3:$I$743,3,0)</f>
        <v>#N/A</v>
      </c>
      <c r="H3" s="18" t="s">
        <v>392</v>
      </c>
      <c r="I3" s="19" t="str">
        <f t="shared" si="0"/>
        <v>060101101012024</v>
      </c>
      <c r="J3" s="93" t="s">
        <v>511</v>
      </c>
      <c r="K3" s="93" t="s">
        <v>499</v>
      </c>
      <c r="L3" s="93" t="s">
        <v>667</v>
      </c>
      <c r="M3" s="99" t="s">
        <v>499</v>
      </c>
      <c r="N3" s="95" t="s">
        <v>521</v>
      </c>
      <c r="O3" s="95" t="s">
        <v>547</v>
      </c>
      <c r="P3" s="2"/>
      <c r="Q3" s="2" t="s">
        <v>6</v>
      </c>
      <c r="R3" s="74"/>
    </row>
    <row r="4" spans="1:18" hidden="1" x14ac:dyDescent="0.2">
      <c r="A4" s="21" t="s">
        <v>227</v>
      </c>
      <c r="B4" s="22" t="s">
        <v>12</v>
      </c>
      <c r="C4" s="22" t="s">
        <v>3</v>
      </c>
      <c r="D4" s="20" t="s">
        <v>228</v>
      </c>
      <c r="E4" s="20" t="s">
        <v>446</v>
      </c>
      <c r="F4" s="20" t="str">
        <f>VLOOKUP(I4,'Трансп. каталог'!$F$3:$I$743,2,0)</f>
        <v>не позднее 25.03.2025</v>
      </c>
      <c r="G4" s="66">
        <f>VLOOKUP(I4,'Трансп. каталог'!$F$3:$I$743,3,0)</f>
        <v>0</v>
      </c>
      <c r="H4" s="21" t="s">
        <v>447</v>
      </c>
      <c r="I4" s="23" t="str">
        <f t="shared" si="0"/>
        <v>060101304012025</v>
      </c>
      <c r="J4" s="93" t="s">
        <v>548</v>
      </c>
      <c r="K4" s="93" t="s">
        <v>393</v>
      </c>
      <c r="L4" s="93" t="s">
        <v>529</v>
      </c>
      <c r="M4" s="102" t="s">
        <v>393</v>
      </c>
      <c r="N4" s="103" t="s">
        <v>558</v>
      </c>
      <c r="O4" s="103" t="s">
        <v>528</v>
      </c>
      <c r="P4" s="20" t="s">
        <v>229</v>
      </c>
      <c r="Q4" s="20" t="s">
        <v>10</v>
      </c>
      <c r="R4" s="74" t="s">
        <v>1402</v>
      </c>
    </row>
    <row r="5" spans="1:18" hidden="1" x14ac:dyDescent="0.2">
      <c r="A5" s="24" t="s">
        <v>227</v>
      </c>
      <c r="B5" s="5" t="s">
        <v>12</v>
      </c>
      <c r="C5" s="5" t="s">
        <v>3</v>
      </c>
      <c r="D5" s="4" t="s">
        <v>228</v>
      </c>
      <c r="E5" s="4" t="s">
        <v>449</v>
      </c>
      <c r="F5" s="4" t="e">
        <f>VLOOKUP(I5,'Трансп. каталог'!$F$3:$I$743,2,0)</f>
        <v>#N/A</v>
      </c>
      <c r="G5" s="67" t="e">
        <f>VLOOKUP(I5,'Трансп. каталог'!$F$3:$I$743,3,0)</f>
        <v>#N/A</v>
      </c>
      <c r="H5" s="24" t="s">
        <v>450</v>
      </c>
      <c r="I5" s="25" t="str">
        <f t="shared" si="0"/>
        <v>060101304022025</v>
      </c>
      <c r="J5" s="110" t="s">
        <v>579</v>
      </c>
      <c r="K5" s="110" t="s">
        <v>483</v>
      </c>
      <c r="L5" s="110" t="s">
        <v>580</v>
      </c>
      <c r="M5" s="104" t="s">
        <v>483</v>
      </c>
      <c r="N5" s="105" t="s">
        <v>559</v>
      </c>
      <c r="O5" s="105" t="s">
        <v>534</v>
      </c>
      <c r="P5" s="4" t="s">
        <v>229</v>
      </c>
      <c r="Q5" s="4" t="s">
        <v>10</v>
      </c>
      <c r="R5" s="74" t="s">
        <v>1402</v>
      </c>
    </row>
    <row r="6" spans="1:18" hidden="1" x14ac:dyDescent="0.2">
      <c r="A6" s="24" t="s">
        <v>227</v>
      </c>
      <c r="B6" s="5" t="s">
        <v>12</v>
      </c>
      <c r="C6" s="5" t="s">
        <v>3</v>
      </c>
      <c r="D6" s="4" t="s">
        <v>228</v>
      </c>
      <c r="E6" s="4" t="s">
        <v>452</v>
      </c>
      <c r="F6" s="4" t="e">
        <f>VLOOKUP(I6,'Трансп. каталог'!$F$3:$I$743,2,0)</f>
        <v>#N/A</v>
      </c>
      <c r="G6" s="67" t="e">
        <f>VLOOKUP(I6,'Трансп. каталог'!$F$3:$I$743,3,0)</f>
        <v>#N/A</v>
      </c>
      <c r="H6" s="24" t="s">
        <v>453</v>
      </c>
      <c r="I6" s="25" t="str">
        <f t="shared" si="0"/>
        <v>060101304032025</v>
      </c>
      <c r="J6" s="43" t="s">
        <v>477</v>
      </c>
      <c r="K6" s="43" t="s">
        <v>485</v>
      </c>
      <c r="L6" s="43" t="s">
        <v>505</v>
      </c>
      <c r="M6" s="104" t="s">
        <v>485</v>
      </c>
      <c r="N6" s="105" t="s">
        <v>717</v>
      </c>
      <c r="O6" s="105" t="s">
        <v>455</v>
      </c>
      <c r="P6" s="4" t="s">
        <v>229</v>
      </c>
      <c r="Q6" s="4" t="s">
        <v>10</v>
      </c>
      <c r="R6" s="74" t="s">
        <v>1402</v>
      </c>
    </row>
    <row r="7" spans="1:18" hidden="1" x14ac:dyDescent="0.2">
      <c r="A7" s="24" t="s">
        <v>227</v>
      </c>
      <c r="B7" s="5" t="s">
        <v>12</v>
      </c>
      <c r="C7" s="5" t="s">
        <v>3</v>
      </c>
      <c r="D7" s="4" t="s">
        <v>228</v>
      </c>
      <c r="E7" s="4" t="s">
        <v>456</v>
      </c>
      <c r="F7" s="4" t="e">
        <f>VLOOKUP(I7,'Трансп. каталог'!$F$3:$I$743,2,0)</f>
        <v>#N/A</v>
      </c>
      <c r="G7" s="67" t="e">
        <f>VLOOKUP(I7,'Трансп. каталог'!$F$3:$I$743,3,0)</f>
        <v>#N/A</v>
      </c>
      <c r="H7" s="24" t="s">
        <v>457</v>
      </c>
      <c r="I7" s="25" t="str">
        <f t="shared" si="0"/>
        <v>060101304042025</v>
      </c>
      <c r="J7" s="43" t="s">
        <v>1388</v>
      </c>
      <c r="K7" s="43" t="s">
        <v>487</v>
      </c>
      <c r="L7" s="43" t="s">
        <v>697</v>
      </c>
      <c r="M7" s="104" t="s">
        <v>487</v>
      </c>
      <c r="N7" s="105" t="s">
        <v>657</v>
      </c>
      <c r="O7" s="105" t="s">
        <v>641</v>
      </c>
      <c r="P7" s="4" t="s">
        <v>229</v>
      </c>
      <c r="Q7" s="4" t="s">
        <v>10</v>
      </c>
      <c r="R7" s="74" t="s">
        <v>1402</v>
      </c>
    </row>
    <row r="8" spans="1:18" hidden="1" x14ac:dyDescent="0.2">
      <c r="A8" s="24" t="s">
        <v>221</v>
      </c>
      <c r="B8" s="5" t="s">
        <v>12</v>
      </c>
      <c r="C8" s="5" t="s">
        <v>3</v>
      </c>
      <c r="D8" s="4" t="s">
        <v>222</v>
      </c>
      <c r="E8" s="4">
        <v>2024</v>
      </c>
      <c r="F8" s="4" t="str">
        <f>VLOOKUP(I8,'Трансп. каталог'!$F$3:$I$743,2,0)</f>
        <v>не позднее 25.12.2024</v>
      </c>
      <c r="G8" s="67" t="str">
        <f>VLOOKUP(I8,'Трансп. каталог'!$F$3:$I$743,3,0)</f>
        <v xml:space="preserve">с 1-го официального 
рабочего дня января 
по 5 февраля
</v>
      </c>
      <c r="H8" s="24" t="s">
        <v>392</v>
      </c>
      <c r="I8" s="25" t="str">
        <f t="shared" si="0"/>
        <v>060101601012024</v>
      </c>
      <c r="J8" s="110" t="s">
        <v>460</v>
      </c>
      <c r="K8" s="110" t="s">
        <v>462</v>
      </c>
      <c r="L8" s="110" t="s">
        <v>670</v>
      </c>
      <c r="M8" s="139">
        <v>45667</v>
      </c>
      <c r="N8" s="105" t="s">
        <v>509</v>
      </c>
      <c r="O8" s="105" t="s">
        <v>398</v>
      </c>
      <c r="P8" s="4" t="s">
        <v>223</v>
      </c>
      <c r="Q8" s="4" t="s">
        <v>10</v>
      </c>
      <c r="R8" s="74">
        <f>VLOOKUP(I8,'Трансп. каталог'!$F$3:$I$743,4,0)</f>
        <v>0</v>
      </c>
    </row>
    <row r="9" spans="1:18" hidden="1" x14ac:dyDescent="0.2">
      <c r="A9" s="24" t="s">
        <v>167</v>
      </c>
      <c r="B9" s="5" t="s">
        <v>12</v>
      </c>
      <c r="C9" s="5" t="s">
        <v>3</v>
      </c>
      <c r="D9" s="4" t="s">
        <v>168</v>
      </c>
      <c r="E9" s="4">
        <v>2024</v>
      </c>
      <c r="F9" s="4" t="str">
        <f>VLOOKUP(I9,'Трансп. каталог'!$F$3:$I$743,2,0)</f>
        <v>не позднее 28.12.2024</v>
      </c>
      <c r="G9" s="67" t="str">
        <f>VLOOKUP(I9,'Трансп. каталог'!$F$3:$I$743,3,0)</f>
        <v xml:space="preserve">с 10 января по 2 марта
</v>
      </c>
      <c r="H9" s="24" t="s">
        <v>392</v>
      </c>
      <c r="I9" s="25" t="str">
        <f t="shared" si="0"/>
        <v>060101801012024</v>
      </c>
      <c r="J9" s="110" t="s">
        <v>1378</v>
      </c>
      <c r="K9" s="152">
        <v>45667</v>
      </c>
      <c r="L9" s="110" t="s">
        <v>393</v>
      </c>
      <c r="M9" s="104" t="s">
        <v>543</v>
      </c>
      <c r="N9" s="105" t="s">
        <v>471</v>
      </c>
      <c r="O9" s="105" t="s">
        <v>401</v>
      </c>
      <c r="P9" s="4" t="s">
        <v>169</v>
      </c>
      <c r="Q9" s="4" t="s">
        <v>10</v>
      </c>
      <c r="R9" s="74">
        <f>VLOOKUP(I9,'Трансп. каталог'!$F$3:$I$743,4,0)</f>
        <v>0</v>
      </c>
    </row>
    <row r="10" spans="1:18" hidden="1" x14ac:dyDescent="0.2">
      <c r="A10" s="24" t="s">
        <v>308</v>
      </c>
      <c r="B10" s="5" t="s">
        <v>2</v>
      </c>
      <c r="C10" s="5" t="s">
        <v>30</v>
      </c>
      <c r="D10" s="4" t="s">
        <v>309</v>
      </c>
      <c r="E10" s="4">
        <v>2024</v>
      </c>
      <c r="F10" s="4" t="str">
        <f>VLOOKUP(I10,'Трансп. каталог'!$F$3:$I$743,2,0)</f>
        <v>не позднее 28.12.2024</v>
      </c>
      <c r="G10" s="67" t="str">
        <f>VLOOKUP(I10,'Трансп. каталог'!$F$3:$I$743,3,0)</f>
        <v xml:space="preserve">с 20 апреля по 1 июня 
после отчетного периода
</v>
      </c>
      <c r="H10" s="24" t="s">
        <v>392</v>
      </c>
      <c r="I10" s="25" t="str">
        <f t="shared" si="0"/>
        <v>060102201012024</v>
      </c>
      <c r="J10" s="110" t="s">
        <v>624</v>
      </c>
      <c r="K10" s="110" t="s">
        <v>591</v>
      </c>
      <c r="L10" s="110" t="s">
        <v>421</v>
      </c>
      <c r="M10" s="104" t="s">
        <v>591</v>
      </c>
      <c r="N10" s="105" t="s">
        <v>472</v>
      </c>
      <c r="O10" s="105" t="s">
        <v>413</v>
      </c>
      <c r="P10" s="4" t="s">
        <v>307</v>
      </c>
      <c r="Q10" s="4" t="s">
        <v>10</v>
      </c>
      <c r="R10" s="74">
        <f>VLOOKUP(I10,'Трансп. каталог'!$F$3:$I$743,4,0)</f>
        <v>0</v>
      </c>
    </row>
    <row r="11" spans="1:18" hidden="1" x14ac:dyDescent="0.2">
      <c r="A11" s="24" t="s">
        <v>305</v>
      </c>
      <c r="B11" s="5" t="s">
        <v>2</v>
      </c>
      <c r="C11" s="5" t="s">
        <v>30</v>
      </c>
      <c r="D11" s="4" t="s">
        <v>306</v>
      </c>
      <c r="E11" s="4">
        <v>2024</v>
      </c>
      <c r="F11" s="4" t="str">
        <f>VLOOKUP(I11,'Трансп. каталог'!$F$3:$I$743,2,0)</f>
        <v>не позднее 28.12.2024</v>
      </c>
      <c r="G11" s="67" t="str">
        <f>VLOOKUP(I11,'Трансп. каталог'!$F$3:$I$743,3,0)</f>
        <v>с 1 апреля по 25 апреля после отчетного периода</v>
      </c>
      <c r="H11" s="24" t="s">
        <v>392</v>
      </c>
      <c r="I11" s="25" t="str">
        <f t="shared" si="0"/>
        <v>060102301012024</v>
      </c>
      <c r="J11" s="110" t="s">
        <v>528</v>
      </c>
      <c r="K11" s="110" t="s">
        <v>468</v>
      </c>
      <c r="L11" s="110" t="s">
        <v>409</v>
      </c>
      <c r="M11" s="104" t="s">
        <v>468</v>
      </c>
      <c r="N11" s="105" t="s">
        <v>1372</v>
      </c>
      <c r="O11" s="105" t="s">
        <v>448</v>
      </c>
      <c r="P11" s="4" t="s">
        <v>307</v>
      </c>
      <c r="Q11" s="4" t="s">
        <v>10</v>
      </c>
      <c r="R11" s="74">
        <f>VLOOKUP(I11,'Трансп. каталог'!$F$3:$I$743,4,0)</f>
        <v>0</v>
      </c>
    </row>
    <row r="12" spans="1:18" hidden="1" x14ac:dyDescent="0.2">
      <c r="A12" s="24" t="s">
        <v>219</v>
      </c>
      <c r="B12" s="5" t="s">
        <v>2</v>
      </c>
      <c r="C12" s="5" t="s">
        <v>3</v>
      </c>
      <c r="D12" s="4" t="s">
        <v>220</v>
      </c>
      <c r="E12" s="4">
        <v>2024</v>
      </c>
      <c r="F12" s="4" t="str">
        <f>VLOOKUP(I12,'Трансп. каталог'!$F$3:$I$743,2,0)</f>
        <v>не позднее 28.12.2024</v>
      </c>
      <c r="G12" s="67" t="str">
        <f>VLOOKUP(I12,'Трансп. каталог'!$F$3:$I$743,3,0)</f>
        <v xml:space="preserve">с 1-го официального 
рабочего дня января 
по 25 января
</v>
      </c>
      <c r="H12" s="24" t="s">
        <v>392</v>
      </c>
      <c r="I12" s="25" t="str">
        <f t="shared" si="0"/>
        <v>060102401012024</v>
      </c>
      <c r="J12" s="110" t="s">
        <v>642</v>
      </c>
      <c r="K12" s="110" t="s">
        <v>462</v>
      </c>
      <c r="L12" s="110" t="s">
        <v>401</v>
      </c>
      <c r="M12" s="139">
        <v>45670</v>
      </c>
      <c r="N12" s="105" t="s">
        <v>666</v>
      </c>
      <c r="O12" s="105" t="s">
        <v>522</v>
      </c>
      <c r="P12" s="4" t="s">
        <v>171</v>
      </c>
      <c r="Q12" s="4"/>
      <c r="R12" s="74">
        <f>VLOOKUP(I12,'Трансп. каталог'!$F$3:$I$743,4,0)</f>
        <v>0</v>
      </c>
    </row>
    <row r="13" spans="1:18" hidden="1" x14ac:dyDescent="0.2">
      <c r="A13" s="24" t="s">
        <v>239</v>
      </c>
      <c r="B13" s="5" t="s">
        <v>2</v>
      </c>
      <c r="C13" s="5" t="s">
        <v>30</v>
      </c>
      <c r="D13" s="4">
        <v>11</v>
      </c>
      <c r="E13" s="4">
        <v>2024</v>
      </c>
      <c r="F13" s="4" t="e">
        <f>VLOOKUP(I13,'Трансп. каталог'!$F$3:$I$743,2,0)</f>
        <v>#N/A</v>
      </c>
      <c r="G13" s="67" t="e">
        <f>VLOOKUP(I13,'Трансп. каталог'!$F$3:$I$743,3,0)</f>
        <v>#N/A</v>
      </c>
      <c r="H13" s="24" t="s">
        <v>392</v>
      </c>
      <c r="I13" s="25" t="str">
        <f t="shared" si="0"/>
        <v>060200101012024</v>
      </c>
      <c r="J13" s="110" t="s">
        <v>393</v>
      </c>
      <c r="K13" s="110" t="s">
        <v>510</v>
      </c>
      <c r="L13" s="110" t="s">
        <v>393</v>
      </c>
      <c r="M13" s="104" t="s">
        <v>510</v>
      </c>
      <c r="N13" s="145">
        <v>45742</v>
      </c>
      <c r="O13" s="145">
        <v>45744</v>
      </c>
      <c r="P13" s="4" t="s">
        <v>240</v>
      </c>
      <c r="Q13" s="4" t="s">
        <v>16</v>
      </c>
      <c r="R13" s="74"/>
    </row>
    <row r="14" spans="1:18" hidden="1" x14ac:dyDescent="0.2">
      <c r="A14" s="27" t="s">
        <v>252</v>
      </c>
      <c r="B14" s="28" t="s">
        <v>2</v>
      </c>
      <c r="C14" s="28" t="s">
        <v>30</v>
      </c>
      <c r="D14" s="26" t="s">
        <v>253</v>
      </c>
      <c r="E14" s="26">
        <v>2024</v>
      </c>
      <c r="F14" s="26" t="e">
        <f>VLOOKUP(I14,'Трансп. каталог'!$F$3:$I$743,2,0)</f>
        <v>#N/A</v>
      </c>
      <c r="G14" s="68" t="e">
        <f>VLOOKUP(I14,'Трансп. каталог'!$F$3:$I$743,3,0)</f>
        <v>#N/A</v>
      </c>
      <c r="H14" s="27" t="s">
        <v>392</v>
      </c>
      <c r="I14" s="29" t="str">
        <f t="shared" si="0"/>
        <v>060200201012024</v>
      </c>
      <c r="J14" s="141" t="s">
        <v>393</v>
      </c>
      <c r="K14" s="141" t="s">
        <v>510</v>
      </c>
      <c r="L14" s="141" t="s">
        <v>393</v>
      </c>
      <c r="M14" s="160">
        <v>45708</v>
      </c>
      <c r="N14" s="160">
        <v>45742</v>
      </c>
      <c r="O14" s="160">
        <v>45744</v>
      </c>
      <c r="P14" s="26" t="s">
        <v>248</v>
      </c>
      <c r="Q14" s="26" t="s">
        <v>16</v>
      </c>
      <c r="R14" s="74"/>
    </row>
    <row r="15" spans="1:18" hidden="1" x14ac:dyDescent="0.2">
      <c r="A15" s="15" t="s">
        <v>254</v>
      </c>
      <c r="B15" s="16" t="s">
        <v>2</v>
      </c>
      <c r="C15" s="16" t="s">
        <v>30</v>
      </c>
      <c r="D15" s="14" t="s">
        <v>255</v>
      </c>
      <c r="E15" s="14">
        <v>2024</v>
      </c>
      <c r="F15" s="14" t="e">
        <f>VLOOKUP(I15,'Трансп. каталог'!$F$3:$I$743,2,0)</f>
        <v>#N/A</v>
      </c>
      <c r="G15" s="64" t="e">
        <f>VLOOKUP(I15,'Трансп. каталог'!$F$3:$I$743,3,0)</f>
        <v>#N/A</v>
      </c>
      <c r="H15" s="15" t="s">
        <v>392</v>
      </c>
      <c r="I15" s="17" t="str">
        <f t="shared" si="0"/>
        <v>060200301012024</v>
      </c>
      <c r="J15" s="190">
        <v>45839</v>
      </c>
      <c r="K15" s="92" t="s">
        <v>530</v>
      </c>
      <c r="L15" s="190">
        <v>45839</v>
      </c>
      <c r="M15" s="96" t="s">
        <v>530</v>
      </c>
      <c r="N15" s="98">
        <v>45833</v>
      </c>
      <c r="O15" s="98">
        <v>45835</v>
      </c>
      <c r="P15" s="14" t="s">
        <v>256</v>
      </c>
      <c r="Q15" s="14" t="s">
        <v>16</v>
      </c>
      <c r="R15" s="73" t="s">
        <v>1403</v>
      </c>
    </row>
    <row r="16" spans="1:18" hidden="1" x14ac:dyDescent="0.2">
      <c r="A16" s="18" t="s">
        <v>246</v>
      </c>
      <c r="B16" s="3" t="s">
        <v>2</v>
      </c>
      <c r="C16" s="3" t="s">
        <v>30</v>
      </c>
      <c r="D16" s="2" t="s">
        <v>247</v>
      </c>
      <c r="E16" s="2">
        <v>2024</v>
      </c>
      <c r="F16" s="2" t="e">
        <f>VLOOKUP(I16,'Трансп. каталог'!$F$3:$I$743,2,0)</f>
        <v>#N/A</v>
      </c>
      <c r="G16" s="65" t="e">
        <f>VLOOKUP(I16,'Трансп. каталог'!$F$3:$I$743,3,0)</f>
        <v>#N/A</v>
      </c>
      <c r="H16" s="18" t="s">
        <v>392</v>
      </c>
      <c r="I16" s="19" t="str">
        <f t="shared" si="0"/>
        <v>060200401012024</v>
      </c>
      <c r="J16" s="216" t="s">
        <v>417</v>
      </c>
      <c r="K16" s="216" t="s">
        <v>530</v>
      </c>
      <c r="L16" s="216" t="s">
        <v>417</v>
      </c>
      <c r="M16" s="83" t="s">
        <v>530</v>
      </c>
      <c r="N16" s="88" t="s">
        <v>532</v>
      </c>
      <c r="O16" s="88" t="s">
        <v>473</v>
      </c>
      <c r="P16" s="2" t="s">
        <v>248</v>
      </c>
      <c r="Q16" s="2" t="s">
        <v>16</v>
      </c>
      <c r="R16" s="73" t="s">
        <v>1403</v>
      </c>
    </row>
    <row r="17" spans="1:18" hidden="1" x14ac:dyDescent="0.2">
      <c r="A17" s="24" t="s">
        <v>204</v>
      </c>
      <c r="B17" s="3" t="s">
        <v>2</v>
      </c>
      <c r="C17" s="5" t="s">
        <v>30</v>
      </c>
      <c r="D17" s="4" t="s">
        <v>205</v>
      </c>
      <c r="E17" s="4" t="s">
        <v>686</v>
      </c>
      <c r="F17" s="4" t="str">
        <f>VLOOKUP(I17,'Трансп. каталог'!$F$3:$I$743,2,0)</f>
        <v xml:space="preserve">
не позднее 27.06.2025</v>
      </c>
      <c r="G17" s="67">
        <f>VLOOKUP(I17,'Трансп. каталог'!$F$3:$I$743,3,0)</f>
        <v>0</v>
      </c>
      <c r="H17" s="24" t="s">
        <v>687</v>
      </c>
      <c r="I17" s="25" t="str">
        <f t="shared" si="0"/>
        <v>060302302012025</v>
      </c>
      <c r="J17" s="110" t="s">
        <v>513</v>
      </c>
      <c r="K17" s="110" t="s">
        <v>417</v>
      </c>
      <c r="L17" s="110" t="s">
        <v>688</v>
      </c>
      <c r="M17" s="160" t="s">
        <v>417</v>
      </c>
      <c r="N17" s="160" t="s">
        <v>501</v>
      </c>
      <c r="O17" s="160" t="s">
        <v>551</v>
      </c>
      <c r="P17" s="4" t="s">
        <v>206</v>
      </c>
      <c r="Q17" s="4"/>
      <c r="R17" s="74">
        <f>VLOOKUP(I17,'Трансп. каталог'!$F$3:$I$743,4,0)</f>
        <v>0</v>
      </c>
    </row>
    <row r="18" spans="1:18" hidden="1" x14ac:dyDescent="0.2">
      <c r="A18" s="27" t="s">
        <v>204</v>
      </c>
      <c r="B18" s="3" t="s">
        <v>2</v>
      </c>
      <c r="C18" s="28" t="s">
        <v>30</v>
      </c>
      <c r="D18" s="26" t="s">
        <v>205</v>
      </c>
      <c r="E18" s="26" t="s">
        <v>1411</v>
      </c>
      <c r="F18" s="26" t="str">
        <f>VLOOKUP(I18,'Трансп. каталог'!$F$3:$I$743,2,0)</f>
        <v xml:space="preserve">
не позднее 30.12.2025</v>
      </c>
      <c r="G18" s="68">
        <f>VLOOKUP(I18,'Трансп. каталог'!$F$3:$I$743,3,0)</f>
        <v>0</v>
      </c>
      <c r="H18" s="27" t="s">
        <v>690</v>
      </c>
      <c r="I18" s="29" t="str">
        <f t="shared" si="0"/>
        <v>060302302022025</v>
      </c>
      <c r="J18" s="109">
        <v>45698</v>
      </c>
      <c r="K18" s="109">
        <v>45687</v>
      </c>
      <c r="L18" s="109">
        <v>45705</v>
      </c>
      <c r="M18" s="160">
        <v>45687</v>
      </c>
      <c r="N18" s="160">
        <v>45694</v>
      </c>
      <c r="O18" s="160">
        <v>45695</v>
      </c>
      <c r="P18" s="26" t="s">
        <v>206</v>
      </c>
      <c r="Q18" s="26"/>
      <c r="R18" s="74">
        <f>VLOOKUP(I18,'Трансп. каталог'!$F$3:$I$743,4,0)</f>
        <v>0</v>
      </c>
    </row>
    <row r="19" spans="1:18" hidden="1" x14ac:dyDescent="0.2">
      <c r="A19" s="21" t="s">
        <v>204</v>
      </c>
      <c r="B19" s="3" t="s">
        <v>2</v>
      </c>
      <c r="C19" s="22" t="s">
        <v>30</v>
      </c>
      <c r="D19" s="20" t="s">
        <v>205</v>
      </c>
      <c r="E19" s="20" t="s">
        <v>689</v>
      </c>
      <c r="F19" s="42" t="s">
        <v>633</v>
      </c>
      <c r="G19" s="42" t="s">
        <v>691</v>
      </c>
      <c r="H19" s="42" t="s">
        <v>692</v>
      </c>
      <c r="I19" s="84" t="s">
        <v>691</v>
      </c>
      <c r="J19" s="42" t="s">
        <v>633</v>
      </c>
      <c r="K19" s="42" t="s">
        <v>691</v>
      </c>
      <c r="L19" s="42" t="s">
        <v>692</v>
      </c>
      <c r="M19" s="84" t="s">
        <v>691</v>
      </c>
      <c r="N19" s="89" t="s">
        <v>442</v>
      </c>
      <c r="O19" s="89" t="s">
        <v>575</v>
      </c>
      <c r="P19" s="20" t="s">
        <v>206</v>
      </c>
      <c r="Q19" s="175"/>
      <c r="R19" s="177"/>
    </row>
    <row r="20" spans="1:18" hidden="1" x14ac:dyDescent="0.2">
      <c r="A20" s="24" t="s">
        <v>207</v>
      </c>
      <c r="B20" s="3" t="s">
        <v>12</v>
      </c>
      <c r="C20" s="5" t="s">
        <v>30</v>
      </c>
      <c r="D20" s="4" t="s">
        <v>208</v>
      </c>
      <c r="E20" s="4">
        <v>2024</v>
      </c>
      <c r="F20" s="4" t="str">
        <f>VLOOKUP(I20,'Трансп. каталог'!$F$3:$I$743,2,0)</f>
        <v>не позднее 13.12.2024</v>
      </c>
      <c r="G20" s="67" t="str">
        <f>VLOOKUP(I20,'Трансп. каталог'!$F$3:$I$743,3,0)</f>
        <v>с 1-го рабочего дня января по 10 февраля
после отчетного периода</v>
      </c>
      <c r="H20" s="24" t="s">
        <v>392</v>
      </c>
      <c r="I20" s="25" t="str">
        <f t="shared" ref="I20:I83" si="1">CONCATENATE(A20,H20)</f>
        <v>060302701012024</v>
      </c>
      <c r="J20" s="110" t="s">
        <v>658</v>
      </c>
      <c r="K20" s="110" t="s">
        <v>693</v>
      </c>
      <c r="L20" s="110" t="s">
        <v>510</v>
      </c>
      <c r="M20" s="104" t="s">
        <v>693</v>
      </c>
      <c r="N20" s="105" t="s">
        <v>460</v>
      </c>
      <c r="O20" s="105" t="s">
        <v>620</v>
      </c>
      <c r="P20" s="4" t="s">
        <v>206</v>
      </c>
      <c r="Q20" s="4"/>
      <c r="R20" s="74">
        <f>VLOOKUP(I20,'Трансп. каталог'!$F$3:$I$743,4,0)</f>
        <v>0</v>
      </c>
    </row>
    <row r="21" spans="1:18" hidden="1" x14ac:dyDescent="0.2">
      <c r="A21" s="27" t="s">
        <v>288</v>
      </c>
      <c r="B21" s="3" t="s">
        <v>2</v>
      </c>
      <c r="C21" s="28" t="s">
        <v>3</v>
      </c>
      <c r="D21" s="26" t="s">
        <v>289</v>
      </c>
      <c r="E21" s="26">
        <v>2024</v>
      </c>
      <c r="F21" s="26" t="e">
        <f>VLOOKUP(I21,'Трансп. каталог'!$F$3:$I$743,2,0)</f>
        <v>#N/A</v>
      </c>
      <c r="G21" s="68" t="e">
        <f>VLOOKUP(I21,'Трансп. каталог'!$F$3:$I$743,3,0)</f>
        <v>#N/A</v>
      </c>
      <c r="H21" s="27" t="s">
        <v>392</v>
      </c>
      <c r="I21" s="29" t="str">
        <f t="shared" si="1"/>
        <v>060401101012024</v>
      </c>
      <c r="J21" s="141" t="s">
        <v>547</v>
      </c>
      <c r="K21" s="141" t="s">
        <v>406</v>
      </c>
      <c r="L21" s="141" t="s">
        <v>530</v>
      </c>
      <c r="M21" s="106" t="s">
        <v>406</v>
      </c>
      <c r="N21" s="107" t="s">
        <v>660</v>
      </c>
      <c r="O21" s="107" t="s">
        <v>521</v>
      </c>
      <c r="P21" s="26" t="s">
        <v>1424</v>
      </c>
      <c r="Q21" s="26" t="s">
        <v>6</v>
      </c>
      <c r="R21" s="74"/>
    </row>
    <row r="22" spans="1:18" hidden="1" x14ac:dyDescent="0.2">
      <c r="A22" s="18" t="s">
        <v>257</v>
      </c>
      <c r="B22" s="3" t="s">
        <v>2</v>
      </c>
      <c r="C22" s="3" t="s">
        <v>30</v>
      </c>
      <c r="D22" s="2" t="s">
        <v>258</v>
      </c>
      <c r="E22" s="2" t="s">
        <v>446</v>
      </c>
      <c r="F22" s="2" t="str">
        <f>VLOOKUP(I22,'Трансп. каталог'!$F$3:$I$743,2,0)</f>
        <v>не позднее 28.03.2025</v>
      </c>
      <c r="G22" s="65">
        <f>VLOOKUP(I22,'Трансп. каталог'!$F$3:$I$743,3,0)</f>
        <v>0</v>
      </c>
      <c r="H22" s="18" t="s">
        <v>447</v>
      </c>
      <c r="I22" s="19" t="str">
        <f t="shared" si="1"/>
        <v>060401204012025</v>
      </c>
      <c r="J22" s="93" t="s">
        <v>703</v>
      </c>
      <c r="K22" s="93" t="s">
        <v>393</v>
      </c>
      <c r="L22" s="93" t="s">
        <v>529</v>
      </c>
      <c r="M22" s="99" t="s">
        <v>393</v>
      </c>
      <c r="N22" s="95" t="s">
        <v>527</v>
      </c>
      <c r="O22" s="95" t="s">
        <v>637</v>
      </c>
      <c r="P22" s="26" t="s">
        <v>1425</v>
      </c>
      <c r="Q22" s="2" t="s">
        <v>6</v>
      </c>
      <c r="R22" s="74">
        <f>VLOOKUP(I22,'Трансп. каталог'!$F$3:$I$743,4,0)</f>
        <v>0</v>
      </c>
    </row>
    <row r="23" spans="1:18" hidden="1" x14ac:dyDescent="0.2">
      <c r="A23" s="21" t="s">
        <v>257</v>
      </c>
      <c r="B23" s="3" t="s">
        <v>2</v>
      </c>
      <c r="C23" s="22" t="s">
        <v>30</v>
      </c>
      <c r="D23" s="20" t="s">
        <v>258</v>
      </c>
      <c r="E23" s="20" t="s">
        <v>449</v>
      </c>
      <c r="F23" s="20" t="str">
        <f>VLOOKUP(I23,'Трансп. каталог'!$F$3:$I$743,2,0)</f>
        <v>не позднее 01.07.2025</v>
      </c>
      <c r="G23" s="66">
        <f>VLOOKUP(I23,'Трансп. каталог'!$F$3:$I$743,3,0)</f>
        <v>0</v>
      </c>
      <c r="H23" s="21" t="s">
        <v>450</v>
      </c>
      <c r="I23" s="23" t="str">
        <f t="shared" si="1"/>
        <v>060401204022025</v>
      </c>
      <c r="J23" s="94" t="s">
        <v>688</v>
      </c>
      <c r="K23" s="94" t="s">
        <v>483</v>
      </c>
      <c r="L23" s="94" t="s">
        <v>580</v>
      </c>
      <c r="M23" s="99" t="s">
        <v>483</v>
      </c>
      <c r="N23" s="95" t="s">
        <v>578</v>
      </c>
      <c r="O23" s="95" t="s">
        <v>596</v>
      </c>
      <c r="P23" s="26" t="s">
        <v>1426</v>
      </c>
      <c r="Q23" s="20" t="s">
        <v>6</v>
      </c>
      <c r="R23" s="74">
        <f>VLOOKUP(I23,'Трансп. каталог'!$F$3:$I$743,4,0)</f>
        <v>0</v>
      </c>
    </row>
    <row r="24" spans="1:18" hidden="1" x14ac:dyDescent="0.2">
      <c r="A24" s="24" t="s">
        <v>257</v>
      </c>
      <c r="B24" s="3" t="s">
        <v>2</v>
      </c>
      <c r="C24" s="5" t="s">
        <v>30</v>
      </c>
      <c r="D24" s="4" t="s">
        <v>258</v>
      </c>
      <c r="E24" s="4" t="s">
        <v>452</v>
      </c>
      <c r="F24" s="4" t="str">
        <f>VLOOKUP(I24,'Трансп. каталог'!$F$3:$I$743,2,0)</f>
        <v>не позднее 26.09.2025</v>
      </c>
      <c r="G24" s="67">
        <f>VLOOKUP(I24,'Трансп. каталог'!$F$3:$I$743,3,0)</f>
        <v>0</v>
      </c>
      <c r="H24" s="24" t="s">
        <v>453</v>
      </c>
      <c r="I24" s="25" t="str">
        <f t="shared" si="1"/>
        <v>060401204032025</v>
      </c>
      <c r="J24" s="43" t="s">
        <v>639</v>
      </c>
      <c r="K24" s="43" t="s">
        <v>485</v>
      </c>
      <c r="L24" s="43" t="s">
        <v>518</v>
      </c>
      <c r="M24" s="85" t="s">
        <v>485</v>
      </c>
      <c r="N24" s="90" t="s">
        <v>516</v>
      </c>
      <c r="O24" s="90" t="s">
        <v>674</v>
      </c>
      <c r="P24" s="26" t="s">
        <v>1427</v>
      </c>
      <c r="Q24" s="4" t="s">
        <v>6</v>
      </c>
      <c r="R24" s="74">
        <f>VLOOKUP(I24,'Трансп. каталог'!$F$3:$I$743,4,0)</f>
        <v>0</v>
      </c>
    </row>
    <row r="25" spans="1:18" hidden="1" x14ac:dyDescent="0.2">
      <c r="A25" s="27" t="s">
        <v>257</v>
      </c>
      <c r="B25" s="3" t="s">
        <v>2</v>
      </c>
      <c r="C25" s="28" t="s">
        <v>30</v>
      </c>
      <c r="D25" s="26" t="s">
        <v>258</v>
      </c>
      <c r="E25" s="26" t="s">
        <v>456</v>
      </c>
      <c r="F25" s="26" t="str">
        <f>VLOOKUP(I25,'Трансп. каталог'!$F$3:$I$743,2,0)</f>
        <v>не позднее 26.12.2025</v>
      </c>
      <c r="G25" s="68">
        <f>VLOOKUP(I25,'Трансп. каталог'!$F$3:$I$743,3,0)</f>
        <v>0</v>
      </c>
      <c r="H25" s="27" t="s">
        <v>457</v>
      </c>
      <c r="I25" s="29" t="str">
        <f t="shared" si="1"/>
        <v>060401204042025</v>
      </c>
      <c r="J25" s="44" t="s">
        <v>1367</v>
      </c>
      <c r="K25" s="44" t="s">
        <v>487</v>
      </c>
      <c r="L25" s="44" t="s">
        <v>697</v>
      </c>
      <c r="M25" s="86" t="s">
        <v>487</v>
      </c>
      <c r="N25" s="91" t="s">
        <v>1400</v>
      </c>
      <c r="O25" s="91" t="s">
        <v>665</v>
      </c>
      <c r="P25" s="26" t="s">
        <v>1428</v>
      </c>
      <c r="Q25" s="26" t="s">
        <v>6</v>
      </c>
      <c r="R25" s="74">
        <f>VLOOKUP(I25,'Трансп. каталог'!$F$3:$I$743,4,0)</f>
        <v>0</v>
      </c>
    </row>
    <row r="26" spans="1:18" hidden="1" x14ac:dyDescent="0.2">
      <c r="A26" s="18" t="s">
        <v>282</v>
      </c>
      <c r="B26" s="3" t="s">
        <v>2</v>
      </c>
      <c r="C26" s="3" t="s">
        <v>30</v>
      </c>
      <c r="D26" s="2" t="s">
        <v>283</v>
      </c>
      <c r="E26" s="2" t="s">
        <v>635</v>
      </c>
      <c r="F26" s="2" t="str">
        <f>VLOOKUP(I26,'Трансп. каталог'!$F$3:$I$743,2,0)</f>
        <v>не позднее 27.12.2024</v>
      </c>
      <c r="G26" s="65" t="str">
        <f>VLOOKUP(I26,'Трансп. каталог'!$F$3:$I$743,3,0)</f>
        <v>с 13 января 
по 31 января 
после отчетного периода</v>
      </c>
      <c r="H26" s="18" t="s">
        <v>392</v>
      </c>
      <c r="I26" s="19" t="str">
        <f t="shared" si="1"/>
        <v>060401601012024</v>
      </c>
      <c r="J26" s="93" t="s">
        <v>397</v>
      </c>
      <c r="K26" s="93" t="s">
        <v>702</v>
      </c>
      <c r="L26" s="93" t="s">
        <v>590</v>
      </c>
      <c r="M26" s="115">
        <v>45667</v>
      </c>
      <c r="N26" s="95" t="s">
        <v>1381</v>
      </c>
      <c r="O26" s="95" t="s">
        <v>508</v>
      </c>
      <c r="P26" s="2" t="s">
        <v>284</v>
      </c>
      <c r="Q26" s="2" t="s">
        <v>6</v>
      </c>
      <c r="R26" s="74">
        <f>VLOOKUP(I26,'Трансп. каталог'!$F$3:$I$743,4,0)</f>
        <v>0</v>
      </c>
    </row>
    <row r="27" spans="1:18" hidden="1" x14ac:dyDescent="0.2">
      <c r="A27" s="21" t="s">
        <v>1</v>
      </c>
      <c r="B27" s="3" t="s">
        <v>2</v>
      </c>
      <c r="C27" s="22" t="s">
        <v>3</v>
      </c>
      <c r="D27" s="20" t="s">
        <v>4</v>
      </c>
      <c r="E27" s="20">
        <v>2024</v>
      </c>
      <c r="F27" s="20" t="e">
        <f>VLOOKUP(I27,'Трансп. каталог'!$F$3:$I$743,2,0)</f>
        <v>#N/A</v>
      </c>
      <c r="G27" s="66" t="e">
        <f>VLOOKUP(I27,'Трансп. каталог'!$F$3:$I$743,3,0)</f>
        <v>#N/A</v>
      </c>
      <c r="H27" s="21" t="s">
        <v>392</v>
      </c>
      <c r="I27" s="23" t="str">
        <f t="shared" si="1"/>
        <v>060401701012024</v>
      </c>
      <c r="J27" s="186" t="s">
        <v>511</v>
      </c>
      <c r="K27" s="186" t="s">
        <v>393</v>
      </c>
      <c r="L27" s="186" t="s">
        <v>394</v>
      </c>
      <c r="M27" s="102" t="s">
        <v>393</v>
      </c>
      <c r="N27" s="103" t="s">
        <v>499</v>
      </c>
      <c r="O27" s="103" t="s">
        <v>547</v>
      </c>
      <c r="P27" s="20" t="s">
        <v>5</v>
      </c>
      <c r="Q27" s="20" t="s">
        <v>6</v>
      </c>
      <c r="R27" s="74"/>
    </row>
    <row r="28" spans="1:18" hidden="1" x14ac:dyDescent="0.2">
      <c r="A28" s="24" t="s">
        <v>293</v>
      </c>
      <c r="B28" s="3" t="s">
        <v>2</v>
      </c>
      <c r="C28" s="5" t="s">
        <v>3</v>
      </c>
      <c r="D28" s="4" t="s">
        <v>294</v>
      </c>
      <c r="E28" s="4">
        <v>2024</v>
      </c>
      <c r="F28" s="4" t="e">
        <f>VLOOKUP(I28,'Трансп. каталог'!$F$3:$I$743,2,0)</f>
        <v>#N/A</v>
      </c>
      <c r="G28" s="67" t="e">
        <f>VLOOKUP(I28,'Трансп. каталог'!$F$3:$I$743,3,0)</f>
        <v>#N/A</v>
      </c>
      <c r="H28" s="24" t="s">
        <v>392</v>
      </c>
      <c r="I28" s="25" t="str">
        <f t="shared" si="1"/>
        <v>060401801012024</v>
      </c>
      <c r="J28" s="188">
        <v>45748</v>
      </c>
      <c r="K28" s="187" t="s">
        <v>468</v>
      </c>
      <c r="L28" s="187" t="s">
        <v>698</v>
      </c>
      <c r="M28" s="104" t="s">
        <v>468</v>
      </c>
      <c r="N28" s="139">
        <v>45742</v>
      </c>
      <c r="O28" s="139">
        <v>45744</v>
      </c>
      <c r="P28" s="4" t="s">
        <v>295</v>
      </c>
      <c r="Q28" s="4" t="s">
        <v>226</v>
      </c>
      <c r="R28" s="74"/>
    </row>
    <row r="29" spans="1:18" hidden="1" x14ac:dyDescent="0.2">
      <c r="A29" s="27" t="s">
        <v>285</v>
      </c>
      <c r="B29" s="3" t="s">
        <v>2</v>
      </c>
      <c r="C29" s="28" t="s">
        <v>30</v>
      </c>
      <c r="D29" s="26" t="s">
        <v>286</v>
      </c>
      <c r="E29" s="26">
        <v>2024</v>
      </c>
      <c r="F29" s="26" t="e">
        <f>VLOOKUP(I29,'Трансп. каталог'!$F$3:$I$743,2,0)</f>
        <v>#N/A</v>
      </c>
      <c r="G29" s="68" t="e">
        <f>VLOOKUP(I29,'Трансп. каталог'!$F$3:$I$743,3,0)</f>
        <v>#N/A</v>
      </c>
      <c r="H29" s="27" t="s">
        <v>392</v>
      </c>
      <c r="I29" s="29" t="str">
        <f t="shared" si="1"/>
        <v>060402301012024</v>
      </c>
      <c r="J29" s="141" t="s">
        <v>394</v>
      </c>
      <c r="K29" s="109">
        <v>45754</v>
      </c>
      <c r="L29" s="141" t="s">
        <v>530</v>
      </c>
      <c r="M29" s="106" t="s">
        <v>661</v>
      </c>
      <c r="N29" s="107" t="s">
        <v>698</v>
      </c>
      <c r="O29" s="107" t="s">
        <v>530</v>
      </c>
      <c r="P29" s="26" t="s">
        <v>287</v>
      </c>
      <c r="Q29" s="26" t="s">
        <v>6</v>
      </c>
      <c r="R29" s="74"/>
    </row>
    <row r="30" spans="1:18" hidden="1" x14ac:dyDescent="0.2">
      <c r="A30" s="18" t="s">
        <v>291</v>
      </c>
      <c r="B30" s="3" t="s">
        <v>2</v>
      </c>
      <c r="C30" s="3" t="s">
        <v>3</v>
      </c>
      <c r="D30" s="2" t="s">
        <v>292</v>
      </c>
      <c r="E30" s="2">
        <v>2024</v>
      </c>
      <c r="F30" s="2" t="e">
        <f>VLOOKUP(I30,'Трансп. каталог'!$F$3:$I$743,2,0)</f>
        <v>#N/A</v>
      </c>
      <c r="G30" s="65" t="e">
        <f>VLOOKUP(I30,'Трансп. каталог'!$F$3:$I$743,3,0)</f>
        <v>#N/A</v>
      </c>
      <c r="H30" s="18" t="s">
        <v>392</v>
      </c>
      <c r="I30" s="19" t="str">
        <f t="shared" si="1"/>
        <v>060402401012024</v>
      </c>
      <c r="J30" s="93" t="s">
        <v>409</v>
      </c>
      <c r="K30" s="93" t="s">
        <v>703</v>
      </c>
      <c r="L30" s="93" t="s">
        <v>594</v>
      </c>
      <c r="M30" s="99" t="s">
        <v>703</v>
      </c>
      <c r="N30" s="95" t="s">
        <v>444</v>
      </c>
      <c r="O30" s="95" t="s">
        <v>548</v>
      </c>
      <c r="P30" s="2" t="s">
        <v>287</v>
      </c>
      <c r="Q30" s="2" t="s">
        <v>226</v>
      </c>
      <c r="R30" s="74"/>
    </row>
    <row r="31" spans="1:18" hidden="1" x14ac:dyDescent="0.2">
      <c r="A31" s="21" t="s">
        <v>116</v>
      </c>
      <c r="B31" s="3" t="s">
        <v>2</v>
      </c>
      <c r="C31" s="22" t="s">
        <v>30</v>
      </c>
      <c r="D31" s="20" t="s">
        <v>117</v>
      </c>
      <c r="E31" s="20">
        <v>2024</v>
      </c>
      <c r="F31" s="20" t="str">
        <f>VLOOKUP(I31,'Трансп. каталог'!$F$3:$I$743,2,0)</f>
        <v>не позднее 24.12.2024</v>
      </c>
      <c r="G31" s="66" t="str">
        <f>VLOOKUP(I31,'Трансп. каталог'!$F$3:$I$743,3,0)</f>
        <v>C 9 по 19 января после отчетного периода</v>
      </c>
      <c r="H31" s="21" t="s">
        <v>392</v>
      </c>
      <c r="I31" s="23" t="str">
        <f t="shared" si="1"/>
        <v>060403001012024</v>
      </c>
      <c r="J31" s="94" t="s">
        <v>705</v>
      </c>
      <c r="K31" s="94" t="s">
        <v>614</v>
      </c>
      <c r="L31" s="94" t="s">
        <v>523</v>
      </c>
      <c r="M31" s="102" t="s">
        <v>614</v>
      </c>
      <c r="N31" s="103" t="s">
        <v>464</v>
      </c>
      <c r="O31" s="103" t="s">
        <v>1384</v>
      </c>
      <c r="P31" s="20" t="s">
        <v>118</v>
      </c>
      <c r="Q31" s="20" t="s">
        <v>6</v>
      </c>
      <c r="R31" s="74">
        <f>VLOOKUP(I31,'Трансп. каталог'!$F$3:$I$743,4,0)</f>
        <v>0</v>
      </c>
    </row>
    <row r="32" spans="1:18" hidden="1" x14ac:dyDescent="0.2">
      <c r="A32" s="24" t="s">
        <v>280</v>
      </c>
      <c r="B32" s="3" t="s">
        <v>2</v>
      </c>
      <c r="C32" s="5" t="s">
        <v>3</v>
      </c>
      <c r="D32" s="4" t="s">
        <v>281</v>
      </c>
      <c r="E32" s="4">
        <v>2024</v>
      </c>
      <c r="F32" s="4" t="str">
        <f>VLOOKUP(I32,'Трансп. каталог'!$F$3:$I$743,2,0)</f>
        <v>не позднее 26.12.2024</v>
      </c>
      <c r="G32" s="67" t="str">
        <f>VLOOKUP(I32,'Трансп. каталог'!$F$3:$I$743,3,0)</f>
        <v>с 13 по 20 января после отчетного периода</v>
      </c>
      <c r="H32" s="24" t="s">
        <v>392</v>
      </c>
      <c r="I32" s="25" t="str">
        <f t="shared" si="1"/>
        <v>060404101012024</v>
      </c>
      <c r="J32" s="110" t="s">
        <v>705</v>
      </c>
      <c r="K32" s="110" t="s">
        <v>462</v>
      </c>
      <c r="L32" s="110" t="s">
        <v>465</v>
      </c>
      <c r="M32" s="104" t="s">
        <v>462</v>
      </c>
      <c r="N32" s="105" t="s">
        <v>464</v>
      </c>
      <c r="O32" s="105" t="s">
        <v>1384</v>
      </c>
      <c r="P32" s="4" t="s">
        <v>268</v>
      </c>
      <c r="Q32" s="4"/>
      <c r="R32" s="74">
        <f>VLOOKUP(I32,'Трансп. каталог'!$F$3:$I$743,4,0)</f>
        <v>0</v>
      </c>
    </row>
    <row r="33" spans="1:18" hidden="1" x14ac:dyDescent="0.2">
      <c r="A33" s="27" t="s">
        <v>272</v>
      </c>
      <c r="B33" s="3" t="s">
        <v>2</v>
      </c>
      <c r="C33" s="28" t="s">
        <v>3</v>
      </c>
      <c r="D33" s="26" t="s">
        <v>273</v>
      </c>
      <c r="E33" s="26">
        <v>2024</v>
      </c>
      <c r="F33" s="26" t="str">
        <f>VLOOKUP(I33,'Трансп. каталог'!$F$3:$I$743,2,0)</f>
        <v>не позднее 28.12.2024</v>
      </c>
      <c r="G33" s="68" t="str">
        <f>VLOOKUP(I33,'Трансп. каталог'!$F$3:$I$743,3,0)</f>
        <v>с 1-го рабочего дня по 31 января после отчетного периода</v>
      </c>
      <c r="H33" s="27" t="s">
        <v>392</v>
      </c>
      <c r="I33" s="29" t="str">
        <f t="shared" si="1"/>
        <v>060600201012024</v>
      </c>
      <c r="J33" s="141" t="s">
        <v>397</v>
      </c>
      <c r="K33" s="141" t="s">
        <v>614</v>
      </c>
      <c r="L33" s="141" t="s">
        <v>493</v>
      </c>
      <c r="M33" s="86" t="s">
        <v>614</v>
      </c>
      <c r="N33" s="91" t="s">
        <v>1381</v>
      </c>
      <c r="O33" s="91" t="s">
        <v>508</v>
      </c>
      <c r="P33" s="26" t="s">
        <v>274</v>
      </c>
      <c r="Q33" s="14" t="s">
        <v>78</v>
      </c>
      <c r="R33" s="74">
        <f>VLOOKUP(I33,'Трансп. каталог'!$F$3:$I$743,4,0)</f>
        <v>0</v>
      </c>
    </row>
    <row r="34" spans="1:18" hidden="1" x14ac:dyDescent="0.2">
      <c r="A34" s="15" t="s">
        <v>269</v>
      </c>
      <c r="B34" s="16" t="s">
        <v>2</v>
      </c>
      <c r="C34" s="16" t="s">
        <v>3</v>
      </c>
      <c r="D34" s="14" t="s">
        <v>270</v>
      </c>
      <c r="E34" s="14">
        <v>2024</v>
      </c>
      <c r="F34" s="14" t="str">
        <f>VLOOKUP(I34,'Трансп. каталог'!$F$3:$I$743,2,0)</f>
        <v>не позднее 23.12.2024</v>
      </c>
      <c r="G34" s="64" t="str">
        <f>VLOOKUP(I34,'Трансп. каталог'!$F$3:$I$743,3,0)</f>
        <v>с 1-го рабочего дня по 21 января после отчетного периода</v>
      </c>
      <c r="H34" s="15" t="s">
        <v>392</v>
      </c>
      <c r="I34" s="17" t="str">
        <f t="shared" si="1"/>
        <v>060600401012024</v>
      </c>
      <c r="J34" s="92" t="s">
        <v>1387</v>
      </c>
      <c r="K34" s="92" t="s">
        <v>614</v>
      </c>
      <c r="L34" s="92" t="s">
        <v>401</v>
      </c>
      <c r="M34" s="96" t="s">
        <v>614</v>
      </c>
      <c r="N34" s="97" t="s">
        <v>464</v>
      </c>
      <c r="O34" s="97" t="s">
        <v>1384</v>
      </c>
      <c r="P34" s="14" t="s">
        <v>271</v>
      </c>
      <c r="Q34" s="14" t="s">
        <v>226</v>
      </c>
      <c r="R34" s="73">
        <f>VLOOKUP(I34,'Трансп. каталог'!$F$3:$I$743,4,0)</f>
        <v>0</v>
      </c>
    </row>
    <row r="35" spans="1:18" hidden="1" x14ac:dyDescent="0.2">
      <c r="A35" s="15" t="s">
        <v>236</v>
      </c>
      <c r="B35" s="16" t="s">
        <v>2</v>
      </c>
      <c r="C35" s="16" t="s">
        <v>3</v>
      </c>
      <c r="D35" s="14" t="s">
        <v>237</v>
      </c>
      <c r="E35" s="14" t="s">
        <v>395</v>
      </c>
      <c r="F35" s="14" t="str">
        <f>VLOOKUP(I35,'Трансп. каталог'!$F$3:$I$743,2,0)</f>
        <v>не позднее 29.01.2025</v>
      </c>
      <c r="G35" s="64">
        <f>VLOOKUP(I35,'Трансп. каталог'!$F$3:$I$743,3,0)</f>
        <v>0</v>
      </c>
      <c r="H35" s="15" t="s">
        <v>396</v>
      </c>
      <c r="I35" s="17" t="str">
        <f t="shared" si="1"/>
        <v>060600912012025</v>
      </c>
      <c r="J35" s="92" t="s">
        <v>398</v>
      </c>
      <c r="K35" s="92" t="s">
        <v>509</v>
      </c>
      <c r="L35" s="92" t="s">
        <v>398</v>
      </c>
      <c r="M35" s="97" t="s">
        <v>1401</v>
      </c>
      <c r="N35" s="97" t="s">
        <v>1401</v>
      </c>
      <c r="O35" s="97" t="s">
        <v>1401</v>
      </c>
      <c r="P35" s="14" t="s">
        <v>238</v>
      </c>
      <c r="Q35" s="14" t="s">
        <v>226</v>
      </c>
      <c r="R35" s="73" t="s">
        <v>1404</v>
      </c>
    </row>
    <row r="36" spans="1:18" hidden="1" x14ac:dyDescent="0.2">
      <c r="A36" s="15" t="s">
        <v>236</v>
      </c>
      <c r="B36" s="16" t="s">
        <v>2</v>
      </c>
      <c r="C36" s="16" t="s">
        <v>3</v>
      </c>
      <c r="D36" s="14" t="s">
        <v>237</v>
      </c>
      <c r="E36" s="14" t="s">
        <v>399</v>
      </c>
      <c r="F36" s="14" t="str">
        <f>VLOOKUP(I36,'Трансп. каталог'!$F$3:$I$743,2,0)</f>
        <v>не позднее 26.02.2025</v>
      </c>
      <c r="G36" s="64">
        <f>VLOOKUP(I36,'Трансп. каталог'!$F$3:$I$743,3,0)</f>
        <v>0</v>
      </c>
      <c r="H36" s="15" t="s">
        <v>400</v>
      </c>
      <c r="I36" s="17" t="str">
        <f t="shared" si="1"/>
        <v>060600912022025</v>
      </c>
      <c r="J36" s="92" t="s">
        <v>402</v>
      </c>
      <c r="K36" s="92" t="s">
        <v>670</v>
      </c>
      <c r="L36" s="92" t="s">
        <v>402</v>
      </c>
      <c r="M36" s="97" t="s">
        <v>1401</v>
      </c>
      <c r="N36" s="97" t="s">
        <v>1401</v>
      </c>
      <c r="O36" s="97" t="s">
        <v>1401</v>
      </c>
      <c r="P36" s="14" t="s">
        <v>238</v>
      </c>
      <c r="Q36" s="14" t="s">
        <v>226</v>
      </c>
      <c r="R36" s="73" t="s">
        <v>1404</v>
      </c>
    </row>
    <row r="37" spans="1:18" hidden="1" x14ac:dyDescent="0.2">
      <c r="A37" s="15" t="s">
        <v>236</v>
      </c>
      <c r="B37" s="16" t="s">
        <v>2</v>
      </c>
      <c r="C37" s="16" t="s">
        <v>3</v>
      </c>
      <c r="D37" s="14" t="s">
        <v>237</v>
      </c>
      <c r="E37" s="14" t="s">
        <v>403</v>
      </c>
      <c r="F37" s="14" t="str">
        <f>VLOOKUP(I37,'Трансп. каталог'!$F$3:$I$743,2,0)</f>
        <v>не позднее 27.03.2025</v>
      </c>
      <c r="G37" s="64">
        <f>VLOOKUP(I37,'Трансп. каталог'!$F$3:$I$743,3,0)</f>
        <v>0</v>
      </c>
      <c r="H37" s="15" t="s">
        <v>404</v>
      </c>
      <c r="I37" s="17" t="str">
        <f t="shared" si="1"/>
        <v>060600912032025</v>
      </c>
      <c r="J37" s="92" t="s">
        <v>406</v>
      </c>
      <c r="K37" s="92" t="s">
        <v>393</v>
      </c>
      <c r="L37" s="92" t="s">
        <v>406</v>
      </c>
      <c r="M37" s="97" t="s">
        <v>1401</v>
      </c>
      <c r="N37" s="97" t="s">
        <v>1401</v>
      </c>
      <c r="O37" s="97" t="s">
        <v>1401</v>
      </c>
      <c r="P37" s="14" t="s">
        <v>238</v>
      </c>
      <c r="Q37" s="14" t="s">
        <v>226</v>
      </c>
      <c r="R37" s="73" t="s">
        <v>1404</v>
      </c>
    </row>
    <row r="38" spans="1:18" hidden="1" x14ac:dyDescent="0.2">
      <c r="A38" s="15" t="s">
        <v>236</v>
      </c>
      <c r="B38" s="16" t="s">
        <v>2</v>
      </c>
      <c r="C38" s="16" t="s">
        <v>3</v>
      </c>
      <c r="D38" s="14" t="s">
        <v>237</v>
      </c>
      <c r="E38" s="14" t="s">
        <v>407</v>
      </c>
      <c r="F38" s="14" t="str">
        <f>VLOOKUP(I38,'Трансп. каталог'!$F$3:$I$743,2,0)</f>
        <v>не позднее 25.04.2025</v>
      </c>
      <c r="G38" s="64">
        <f>VLOOKUP(I38,'Трансп. каталог'!$F$3:$I$743,3,0)</f>
        <v>0</v>
      </c>
      <c r="H38" s="15" t="s">
        <v>408</v>
      </c>
      <c r="I38" s="17" t="str">
        <f t="shared" si="1"/>
        <v>060600912042025</v>
      </c>
      <c r="J38" s="217" t="s">
        <v>410</v>
      </c>
      <c r="K38" s="217" t="s">
        <v>603</v>
      </c>
      <c r="L38" s="217" t="s">
        <v>410</v>
      </c>
      <c r="M38" s="97" t="s">
        <v>1401</v>
      </c>
      <c r="N38" s="97" t="s">
        <v>1401</v>
      </c>
      <c r="O38" s="97" t="s">
        <v>1401</v>
      </c>
      <c r="P38" s="14" t="s">
        <v>238</v>
      </c>
      <c r="Q38" s="14" t="s">
        <v>226</v>
      </c>
      <c r="R38" s="73" t="s">
        <v>1404</v>
      </c>
    </row>
    <row r="39" spans="1:18" hidden="1" x14ac:dyDescent="0.2">
      <c r="A39" s="15" t="s">
        <v>236</v>
      </c>
      <c r="B39" s="16" t="s">
        <v>2</v>
      </c>
      <c r="C39" s="16" t="s">
        <v>3</v>
      </c>
      <c r="D39" s="14" t="s">
        <v>237</v>
      </c>
      <c r="E39" s="14" t="s">
        <v>411</v>
      </c>
      <c r="F39" s="14" t="str">
        <f>VLOOKUP(I39,'Трансп. каталог'!$F$3:$I$743,2,0)</f>
        <v>не позднее 28.05.2025</v>
      </c>
      <c r="G39" s="64">
        <f>VLOOKUP(I39,'Трансп. каталог'!$F$3:$I$743,3,0)</f>
        <v>0</v>
      </c>
      <c r="H39" s="15" t="s">
        <v>412</v>
      </c>
      <c r="I39" s="17" t="str">
        <f t="shared" si="1"/>
        <v>060600912052025</v>
      </c>
      <c r="J39" s="92" t="s">
        <v>414</v>
      </c>
      <c r="K39" s="92" t="s">
        <v>624</v>
      </c>
      <c r="L39" s="92" t="s">
        <v>414</v>
      </c>
      <c r="M39" s="97" t="s">
        <v>1401</v>
      </c>
      <c r="N39" s="97" t="s">
        <v>1401</v>
      </c>
      <c r="O39" s="97" t="s">
        <v>1401</v>
      </c>
      <c r="P39" s="14" t="s">
        <v>238</v>
      </c>
      <c r="Q39" s="14" t="s">
        <v>226</v>
      </c>
      <c r="R39" s="73" t="s">
        <v>1404</v>
      </c>
    </row>
    <row r="40" spans="1:18" hidden="1" x14ac:dyDescent="0.2">
      <c r="A40" s="15" t="s">
        <v>236</v>
      </c>
      <c r="B40" s="16" t="s">
        <v>2</v>
      </c>
      <c r="C40" s="16" t="s">
        <v>3</v>
      </c>
      <c r="D40" s="14" t="s">
        <v>237</v>
      </c>
      <c r="E40" s="14" t="s">
        <v>415</v>
      </c>
      <c r="F40" s="14" t="str">
        <f>VLOOKUP(I40,'Трансп. каталог'!$F$3:$I$743,2,0)</f>
        <v>не позднее 26.06.2025</v>
      </c>
      <c r="G40" s="64">
        <f>VLOOKUP(I40,'Трансп. каталог'!$F$3:$I$743,3,0)</f>
        <v>0</v>
      </c>
      <c r="H40" s="15" t="s">
        <v>416</v>
      </c>
      <c r="I40" s="17" t="str">
        <f t="shared" si="1"/>
        <v>060600912062025</v>
      </c>
      <c r="J40" s="92" t="s">
        <v>418</v>
      </c>
      <c r="K40" s="92" t="s">
        <v>483</v>
      </c>
      <c r="L40" s="92" t="s">
        <v>418</v>
      </c>
      <c r="M40" s="97" t="s">
        <v>1401</v>
      </c>
      <c r="N40" s="97" t="s">
        <v>1401</v>
      </c>
      <c r="O40" s="97" t="s">
        <v>1401</v>
      </c>
      <c r="P40" s="14" t="s">
        <v>238</v>
      </c>
      <c r="Q40" s="14" t="s">
        <v>226</v>
      </c>
      <c r="R40" s="73" t="s">
        <v>1404</v>
      </c>
    </row>
    <row r="41" spans="1:18" hidden="1" x14ac:dyDescent="0.2">
      <c r="A41" s="15" t="s">
        <v>236</v>
      </c>
      <c r="B41" s="16" t="s">
        <v>2</v>
      </c>
      <c r="C41" s="16" t="s">
        <v>3</v>
      </c>
      <c r="D41" s="14" t="s">
        <v>237</v>
      </c>
      <c r="E41" s="14" t="s">
        <v>419</v>
      </c>
      <c r="F41" s="14" t="str">
        <f>VLOOKUP(I41,'Трансп. каталог'!$F$3:$I$743,2,0)</f>
        <v>не позднее 29.07.2025</v>
      </c>
      <c r="G41" s="64">
        <f>VLOOKUP(I41,'Трансп. каталог'!$F$3:$I$743,3,0)</f>
        <v>0</v>
      </c>
      <c r="H41" s="15" t="s">
        <v>420</v>
      </c>
      <c r="I41" s="17" t="str">
        <f t="shared" si="1"/>
        <v>060600912072025</v>
      </c>
      <c r="J41" s="40" t="s">
        <v>422</v>
      </c>
      <c r="K41" s="40" t="s">
        <v>627</v>
      </c>
      <c r="L41" s="40" t="s">
        <v>422</v>
      </c>
      <c r="M41" s="87" t="s">
        <v>1401</v>
      </c>
      <c r="N41" s="87" t="s">
        <v>1401</v>
      </c>
      <c r="O41" s="87" t="s">
        <v>1401</v>
      </c>
      <c r="P41" s="14" t="s">
        <v>238</v>
      </c>
      <c r="Q41" s="14" t="s">
        <v>226</v>
      </c>
      <c r="R41" s="73" t="s">
        <v>1404</v>
      </c>
    </row>
    <row r="42" spans="1:18" hidden="1" x14ac:dyDescent="0.2">
      <c r="A42" s="18" t="s">
        <v>236</v>
      </c>
      <c r="B42" s="3" t="s">
        <v>2</v>
      </c>
      <c r="C42" s="3" t="s">
        <v>3</v>
      </c>
      <c r="D42" s="2" t="s">
        <v>237</v>
      </c>
      <c r="E42" s="2" t="s">
        <v>423</v>
      </c>
      <c r="F42" s="2" t="str">
        <f>VLOOKUP(I42,'Трансп. каталог'!$F$3:$I$743,2,0)</f>
        <v>не позднее 27.08.2025</v>
      </c>
      <c r="G42" s="65">
        <f>VLOOKUP(I42,'Трансп. каталог'!$F$3:$I$743,3,0)</f>
        <v>0</v>
      </c>
      <c r="H42" s="18" t="s">
        <v>424</v>
      </c>
      <c r="I42" s="19" t="str">
        <f t="shared" si="1"/>
        <v>060600912082025</v>
      </c>
      <c r="J42" s="41" t="s">
        <v>426</v>
      </c>
      <c r="K42" s="41" t="s">
        <v>607</v>
      </c>
      <c r="L42" s="41" t="s">
        <v>426</v>
      </c>
      <c r="M42" s="88" t="s">
        <v>1401</v>
      </c>
      <c r="N42" s="88" t="s">
        <v>1401</v>
      </c>
      <c r="O42" s="88" t="s">
        <v>1401</v>
      </c>
      <c r="P42" s="2" t="s">
        <v>238</v>
      </c>
      <c r="Q42" s="2" t="s">
        <v>226</v>
      </c>
      <c r="R42" s="74" t="s">
        <v>1404</v>
      </c>
    </row>
    <row r="43" spans="1:18" hidden="1" x14ac:dyDescent="0.2">
      <c r="A43" s="21" t="s">
        <v>236</v>
      </c>
      <c r="B43" s="22" t="s">
        <v>2</v>
      </c>
      <c r="C43" s="22" t="s">
        <v>3</v>
      </c>
      <c r="D43" s="20" t="s">
        <v>237</v>
      </c>
      <c r="E43" s="20" t="s">
        <v>427</v>
      </c>
      <c r="F43" s="20" t="str">
        <f>VLOOKUP(I43,'Трансп. каталог'!$F$3:$I$743,2,0)</f>
        <v>не позднее 26.09.2025</v>
      </c>
      <c r="G43" s="66">
        <f>VLOOKUP(I43,'Трансп. каталог'!$F$3:$I$743,3,0)</f>
        <v>0</v>
      </c>
      <c r="H43" s="21" t="s">
        <v>428</v>
      </c>
      <c r="I43" s="23" t="str">
        <f t="shared" si="1"/>
        <v>060600912092025</v>
      </c>
      <c r="J43" s="41" t="s">
        <v>430</v>
      </c>
      <c r="K43" s="41" t="s">
        <v>485</v>
      </c>
      <c r="L43" s="41" t="s">
        <v>430</v>
      </c>
      <c r="M43" s="89" t="s">
        <v>1401</v>
      </c>
      <c r="N43" s="88" t="s">
        <v>1401</v>
      </c>
      <c r="O43" s="88" t="s">
        <v>1401</v>
      </c>
      <c r="P43" s="20" t="s">
        <v>238</v>
      </c>
      <c r="Q43" s="20" t="s">
        <v>226</v>
      </c>
      <c r="R43" s="74" t="s">
        <v>1404</v>
      </c>
    </row>
    <row r="44" spans="1:18" hidden="1" x14ac:dyDescent="0.2">
      <c r="A44" s="24" t="s">
        <v>236</v>
      </c>
      <c r="B44" s="5" t="s">
        <v>2</v>
      </c>
      <c r="C44" s="5" t="s">
        <v>3</v>
      </c>
      <c r="D44" s="4" t="s">
        <v>237</v>
      </c>
      <c r="E44" s="4" t="s">
        <v>431</v>
      </c>
      <c r="F44" s="4" t="str">
        <f>VLOOKUP(I44,'Трансп. каталог'!$F$3:$I$743,2,0)</f>
        <v>не позднее 28.10.2025</v>
      </c>
      <c r="G44" s="67">
        <f>VLOOKUP(I44,'Трансп. каталог'!$F$3:$I$743,3,0)</f>
        <v>0</v>
      </c>
      <c r="H44" s="24" t="s">
        <v>432</v>
      </c>
      <c r="I44" s="25" t="str">
        <f t="shared" si="1"/>
        <v>060600912102025</v>
      </c>
      <c r="J44" s="43" t="s">
        <v>434</v>
      </c>
      <c r="K44" s="43" t="s">
        <v>602</v>
      </c>
      <c r="L44" s="43" t="s">
        <v>434</v>
      </c>
      <c r="M44" s="89" t="s">
        <v>1401</v>
      </c>
      <c r="N44" s="88" t="s">
        <v>1401</v>
      </c>
      <c r="O44" s="88" t="s">
        <v>1401</v>
      </c>
      <c r="P44" s="4" t="s">
        <v>238</v>
      </c>
      <c r="Q44" s="4" t="s">
        <v>226</v>
      </c>
      <c r="R44" s="74" t="s">
        <v>1404</v>
      </c>
    </row>
    <row r="45" spans="1:18" hidden="1" x14ac:dyDescent="0.2">
      <c r="A45" s="24" t="s">
        <v>236</v>
      </c>
      <c r="B45" s="5" t="s">
        <v>2</v>
      </c>
      <c r="C45" s="5" t="s">
        <v>3</v>
      </c>
      <c r="D45" s="4" t="s">
        <v>237</v>
      </c>
      <c r="E45" s="4" t="s">
        <v>435</v>
      </c>
      <c r="F45" s="4" t="str">
        <f>VLOOKUP(I45,'Трансп. каталог'!$F$3:$I$743,2,0)</f>
        <v>не позднее 26.11.2025</v>
      </c>
      <c r="G45" s="67">
        <f>VLOOKUP(I45,'Трансп. каталог'!$F$3:$I$743,3,0)</f>
        <v>0</v>
      </c>
      <c r="H45" s="24" t="s">
        <v>436</v>
      </c>
      <c r="I45" s="25" t="str">
        <f t="shared" si="1"/>
        <v>060600912112025</v>
      </c>
      <c r="J45" s="43" t="s">
        <v>438</v>
      </c>
      <c r="K45" s="43" t="s">
        <v>608</v>
      </c>
      <c r="L45" s="43" t="s">
        <v>438</v>
      </c>
      <c r="M45" s="90" t="s">
        <v>1401</v>
      </c>
      <c r="N45" s="88" t="s">
        <v>1401</v>
      </c>
      <c r="O45" s="88" t="s">
        <v>1401</v>
      </c>
      <c r="P45" s="4" t="s">
        <v>238</v>
      </c>
      <c r="Q45" s="4" t="s">
        <v>226</v>
      </c>
      <c r="R45" s="74" t="s">
        <v>1404</v>
      </c>
    </row>
    <row r="46" spans="1:18" hidden="1" x14ac:dyDescent="0.2">
      <c r="A46" s="24" t="s">
        <v>236</v>
      </c>
      <c r="B46" s="5" t="s">
        <v>2</v>
      </c>
      <c r="C46" s="5" t="s">
        <v>3</v>
      </c>
      <c r="D46" s="4" t="s">
        <v>237</v>
      </c>
      <c r="E46" s="4" t="s">
        <v>439</v>
      </c>
      <c r="F46" s="4" t="str">
        <f>VLOOKUP(I46,'Трансп. каталог'!$F$3:$I$743,2,0)</f>
        <v>не позднее 26.12.2025</v>
      </c>
      <c r="G46" s="67">
        <f>VLOOKUP(I46,'Трансп. каталог'!$F$3:$I$743,3,0)</f>
        <v>0</v>
      </c>
      <c r="H46" s="24" t="s">
        <v>440</v>
      </c>
      <c r="I46" s="25" t="str">
        <f t="shared" si="1"/>
        <v>060600912122025</v>
      </c>
      <c r="J46" s="43" t="s">
        <v>442</v>
      </c>
      <c r="K46" s="43" t="s">
        <v>481</v>
      </c>
      <c r="L46" s="43" t="s">
        <v>442</v>
      </c>
      <c r="M46" s="90" t="s">
        <v>1401</v>
      </c>
      <c r="N46" s="88" t="s">
        <v>1401</v>
      </c>
      <c r="O46" s="88" t="s">
        <v>1401</v>
      </c>
      <c r="P46" s="4" t="s">
        <v>238</v>
      </c>
      <c r="Q46" s="4" t="s">
        <v>226</v>
      </c>
      <c r="R46" s="74" t="s">
        <v>1404</v>
      </c>
    </row>
    <row r="47" spans="1:18" hidden="1" x14ac:dyDescent="0.2">
      <c r="A47" s="24" t="s">
        <v>249</v>
      </c>
      <c r="B47" s="5" t="s">
        <v>2</v>
      </c>
      <c r="C47" s="5" t="s">
        <v>3</v>
      </c>
      <c r="D47" s="4" t="s">
        <v>250</v>
      </c>
      <c r="E47" s="4" t="s">
        <v>395</v>
      </c>
      <c r="F47" s="4" t="str">
        <f>VLOOKUP(I47,'Трансп. каталог'!$F$3:$I$743,2,0)</f>
        <v>не позднее 29.01.2025</v>
      </c>
      <c r="G47" s="67">
        <f>VLOOKUP(I47,'Трансп. каталог'!$F$3:$I$743,3,0)</f>
        <v>0</v>
      </c>
      <c r="H47" s="24" t="s">
        <v>396</v>
      </c>
      <c r="I47" s="25" t="str">
        <f t="shared" si="1"/>
        <v>060601012012025</v>
      </c>
      <c r="J47" s="146" t="s">
        <v>585</v>
      </c>
      <c r="K47" s="146" t="s">
        <v>619</v>
      </c>
      <c r="L47" s="146" t="s">
        <v>524</v>
      </c>
      <c r="M47" s="104" t="s">
        <v>619</v>
      </c>
      <c r="N47" s="95" t="s">
        <v>520</v>
      </c>
      <c r="O47" s="95" t="s">
        <v>510</v>
      </c>
      <c r="P47" s="4" t="s">
        <v>251</v>
      </c>
      <c r="Q47" s="4" t="s">
        <v>78</v>
      </c>
      <c r="R47" s="74">
        <f>VLOOKUP(I47,'Трансп. каталог'!$F$3:$I$743,4,0)</f>
        <v>0</v>
      </c>
    </row>
    <row r="48" spans="1:18" hidden="1" x14ac:dyDescent="0.2">
      <c r="A48" s="24" t="s">
        <v>249</v>
      </c>
      <c r="B48" s="5" t="s">
        <v>2</v>
      </c>
      <c r="C48" s="5" t="s">
        <v>3</v>
      </c>
      <c r="D48" s="4" t="s">
        <v>250</v>
      </c>
      <c r="E48" s="4" t="s">
        <v>399</v>
      </c>
      <c r="F48" s="4" t="str">
        <f>VLOOKUP(I48,'Трансп. каталог'!$F$3:$I$743,2,0)</f>
        <v>не позднее 27.02.2025</v>
      </c>
      <c r="G48" s="67">
        <f>VLOOKUP(I48,'Трансп. каталог'!$F$3:$I$743,3,0)</f>
        <v>0</v>
      </c>
      <c r="H48" s="24" t="s">
        <v>400</v>
      </c>
      <c r="I48" s="25" t="str">
        <f t="shared" si="1"/>
        <v>060601012022025</v>
      </c>
      <c r="J48" s="110" t="s">
        <v>468</v>
      </c>
      <c r="K48" s="110" t="s">
        <v>621</v>
      </c>
      <c r="L48" s="110" t="s">
        <v>526</v>
      </c>
      <c r="M48" s="104" t="s">
        <v>621</v>
      </c>
      <c r="N48" s="95" t="s">
        <v>545</v>
      </c>
      <c r="O48" s="95" t="s">
        <v>495</v>
      </c>
      <c r="P48" s="4" t="s">
        <v>251</v>
      </c>
      <c r="Q48" s="4" t="s">
        <v>78</v>
      </c>
      <c r="R48" s="74">
        <f>VLOOKUP(I48,'Трансп. каталог'!$F$3:$I$743,4,0)</f>
        <v>0</v>
      </c>
    </row>
    <row r="49" spans="1:18" hidden="1" x14ac:dyDescent="0.2">
      <c r="A49" s="24" t="s">
        <v>249</v>
      </c>
      <c r="B49" s="5" t="s">
        <v>2</v>
      </c>
      <c r="C49" s="5" t="s">
        <v>3</v>
      </c>
      <c r="D49" s="4" t="s">
        <v>250</v>
      </c>
      <c r="E49" s="4" t="s">
        <v>403</v>
      </c>
      <c r="F49" s="4" t="str">
        <f>VLOOKUP(I49,'Трансп. каталог'!$F$3:$I$743,2,0)</f>
        <v>не позднее 28.03.2025</v>
      </c>
      <c r="G49" s="67">
        <f>VLOOKUP(I49,'Трансп. каталог'!$F$3:$I$743,3,0)</f>
        <v>0</v>
      </c>
      <c r="H49" s="24" t="s">
        <v>404</v>
      </c>
      <c r="I49" s="25" t="str">
        <f t="shared" si="1"/>
        <v>060601012032025</v>
      </c>
      <c r="J49" s="110" t="s">
        <v>511</v>
      </c>
      <c r="K49" s="110" t="s">
        <v>393</v>
      </c>
      <c r="L49" s="110" t="s">
        <v>528</v>
      </c>
      <c r="M49" s="104" t="s">
        <v>393</v>
      </c>
      <c r="N49" s="95" t="s">
        <v>499</v>
      </c>
      <c r="O49" s="95" t="s">
        <v>547</v>
      </c>
      <c r="P49" s="4" t="s">
        <v>251</v>
      </c>
      <c r="Q49" s="4" t="s">
        <v>78</v>
      </c>
      <c r="R49" s="74">
        <f>VLOOKUP(I49,'Трансп. каталог'!$F$3:$I$743,4,0)</f>
        <v>0</v>
      </c>
    </row>
    <row r="50" spans="1:18" hidden="1" x14ac:dyDescent="0.2">
      <c r="A50" s="24" t="s">
        <v>249</v>
      </c>
      <c r="B50" s="5" t="s">
        <v>2</v>
      </c>
      <c r="C50" s="5" t="s">
        <v>3</v>
      </c>
      <c r="D50" s="4" t="s">
        <v>250</v>
      </c>
      <c r="E50" s="4" t="s">
        <v>407</v>
      </c>
      <c r="F50" s="4" t="str">
        <f>VLOOKUP(I50,'Трансп. каталог'!$F$3:$I$743,2,0)</f>
        <v>не позднее 28.04.2025</v>
      </c>
      <c r="G50" s="67">
        <f>VLOOKUP(I50,'Трансп. каталог'!$F$3:$I$743,3,0)</f>
        <v>0</v>
      </c>
      <c r="H50" s="24" t="s">
        <v>408</v>
      </c>
      <c r="I50" s="25" t="str">
        <f t="shared" si="1"/>
        <v>060601012042025</v>
      </c>
      <c r="J50" s="110" t="s">
        <v>500</v>
      </c>
      <c r="K50" s="110" t="s">
        <v>623</v>
      </c>
      <c r="L50" s="110" t="s">
        <v>394</v>
      </c>
      <c r="M50" s="104" t="s">
        <v>623</v>
      </c>
      <c r="N50" s="95" t="s">
        <v>549</v>
      </c>
      <c r="O50" s="95" t="s">
        <v>661</v>
      </c>
      <c r="P50" s="4" t="s">
        <v>251</v>
      </c>
      <c r="Q50" s="4" t="s">
        <v>78</v>
      </c>
      <c r="R50" s="74">
        <f>VLOOKUP(I50,'Трансп. каталог'!$F$3:$I$743,4,0)</f>
        <v>0</v>
      </c>
    </row>
    <row r="51" spans="1:18" hidden="1" x14ac:dyDescent="0.2">
      <c r="A51" s="24" t="s">
        <v>249</v>
      </c>
      <c r="B51" s="5" t="s">
        <v>2</v>
      </c>
      <c r="C51" s="5" t="s">
        <v>3</v>
      </c>
      <c r="D51" s="4" t="s">
        <v>250</v>
      </c>
      <c r="E51" s="4" t="s">
        <v>411</v>
      </c>
      <c r="F51" s="4" t="str">
        <f>VLOOKUP(I51,'Трансп. каталог'!$F$3:$I$743,2,0)</f>
        <v>не позднее 29.05.2025</v>
      </c>
      <c r="G51" s="67">
        <f>VLOOKUP(I51,'Трансп. каталог'!$F$3:$I$743,3,0)</f>
        <v>0</v>
      </c>
      <c r="H51" s="24" t="s">
        <v>412</v>
      </c>
      <c r="I51" s="25" t="str">
        <f t="shared" si="1"/>
        <v>060601012052025</v>
      </c>
      <c r="J51" s="110" t="s">
        <v>512</v>
      </c>
      <c r="K51" s="110" t="s">
        <v>646</v>
      </c>
      <c r="L51" s="110" t="s">
        <v>532</v>
      </c>
      <c r="M51" s="139">
        <v>45810</v>
      </c>
      <c r="N51" s="95" t="s">
        <v>625</v>
      </c>
      <c r="O51" s="95" t="s">
        <v>550</v>
      </c>
      <c r="P51" s="4" t="s">
        <v>251</v>
      </c>
      <c r="Q51" s="4" t="s">
        <v>78</v>
      </c>
      <c r="R51" s="74">
        <f>VLOOKUP(I51,'Трансп. каталог'!$F$3:$I$743,4,0)</f>
        <v>0</v>
      </c>
    </row>
    <row r="52" spans="1:18" hidden="1" x14ac:dyDescent="0.2">
      <c r="A52" s="24" t="s">
        <v>249</v>
      </c>
      <c r="B52" s="5" t="s">
        <v>2</v>
      </c>
      <c r="C52" s="5" t="s">
        <v>3</v>
      </c>
      <c r="D52" s="4" t="s">
        <v>250</v>
      </c>
      <c r="E52" s="4" t="s">
        <v>415</v>
      </c>
      <c r="F52" s="4" t="str">
        <f>VLOOKUP(I52,'Трансп. каталог'!$F$3:$I$743,2,0)</f>
        <v>не позднее 27.06.2025</v>
      </c>
      <c r="G52" s="67">
        <f>VLOOKUP(I52,'Трансп. каталог'!$F$3:$I$743,3,0)</f>
        <v>0</v>
      </c>
      <c r="H52" s="24" t="s">
        <v>416</v>
      </c>
      <c r="I52" s="25" t="str">
        <f t="shared" si="1"/>
        <v>060601012062025</v>
      </c>
      <c r="J52" s="110" t="s">
        <v>513</v>
      </c>
      <c r="K52" s="110" t="s">
        <v>483</v>
      </c>
      <c r="L52" s="110" t="s">
        <v>534</v>
      </c>
      <c r="M52" s="139" t="s">
        <v>483</v>
      </c>
      <c r="N52" s="95" t="s">
        <v>501</v>
      </c>
      <c r="O52" s="95" t="s">
        <v>551</v>
      </c>
      <c r="P52" s="4" t="s">
        <v>251</v>
      </c>
      <c r="Q52" s="4" t="s">
        <v>78</v>
      </c>
      <c r="R52" s="74">
        <f>VLOOKUP(I52,'Трансп. каталог'!$F$3:$I$743,4,0)</f>
        <v>0</v>
      </c>
    </row>
    <row r="53" spans="1:18" hidden="1" x14ac:dyDescent="0.2">
      <c r="A53" s="27" t="s">
        <v>249</v>
      </c>
      <c r="B53" s="28" t="s">
        <v>2</v>
      </c>
      <c r="C53" s="28" t="s">
        <v>3</v>
      </c>
      <c r="D53" s="26" t="s">
        <v>250</v>
      </c>
      <c r="E53" s="26" t="s">
        <v>419</v>
      </c>
      <c r="F53" s="26" t="str">
        <f>VLOOKUP(I53,'Трансп. каталог'!$F$3:$I$743,2,0)</f>
        <v>не позднее 29.07.2025</v>
      </c>
      <c r="G53" s="68">
        <f>VLOOKUP(I53,'Трансп. каталог'!$F$3:$I$743,3,0)</f>
        <v>0</v>
      </c>
      <c r="H53" s="27" t="s">
        <v>420</v>
      </c>
      <c r="I53" s="29" t="str">
        <f t="shared" si="1"/>
        <v>060601012072025</v>
      </c>
      <c r="J53" s="44" t="s">
        <v>514</v>
      </c>
      <c r="K53" s="44" t="s">
        <v>627</v>
      </c>
      <c r="L53" s="44" t="s">
        <v>700</v>
      </c>
      <c r="M53" s="86" t="s">
        <v>627</v>
      </c>
      <c r="N53" s="88" t="s">
        <v>553</v>
      </c>
      <c r="O53" s="88" t="s">
        <v>580</v>
      </c>
      <c r="P53" s="26" t="s">
        <v>251</v>
      </c>
      <c r="Q53" s="26" t="s">
        <v>78</v>
      </c>
      <c r="R53" s="74">
        <f>VLOOKUP(I53,'Трансп. каталог'!$F$3:$I$743,4,0)</f>
        <v>0</v>
      </c>
    </row>
    <row r="54" spans="1:18" hidden="1" x14ac:dyDescent="0.2">
      <c r="A54" s="18" t="s">
        <v>249</v>
      </c>
      <c r="B54" s="3" t="s">
        <v>2</v>
      </c>
      <c r="C54" s="3" t="s">
        <v>3</v>
      </c>
      <c r="D54" s="2" t="s">
        <v>250</v>
      </c>
      <c r="E54" s="2" t="s">
        <v>423</v>
      </c>
      <c r="F54" s="2" t="str">
        <f>VLOOKUP(I54,'Трансп. каталог'!$F$3:$I$743,2,0)</f>
        <v>не позднее 29.08.2025</v>
      </c>
      <c r="G54" s="65">
        <f>VLOOKUP(I54,'Трансп. каталог'!$F$3:$I$743,3,0)</f>
        <v>0</v>
      </c>
      <c r="H54" s="18" t="s">
        <v>424</v>
      </c>
      <c r="I54" s="19" t="str">
        <f t="shared" si="1"/>
        <v>060601012082025</v>
      </c>
      <c r="J54" s="41" t="s">
        <v>515</v>
      </c>
      <c r="K54" s="41" t="s">
        <v>607</v>
      </c>
      <c r="L54" s="41" t="s">
        <v>538</v>
      </c>
      <c r="M54" s="83" t="s">
        <v>607</v>
      </c>
      <c r="N54" s="88" t="s">
        <v>649</v>
      </c>
      <c r="O54" s="88" t="s">
        <v>554</v>
      </c>
      <c r="P54" s="2" t="s">
        <v>251</v>
      </c>
      <c r="Q54" s="2" t="s">
        <v>78</v>
      </c>
      <c r="R54" s="74">
        <f>VLOOKUP(I54,'Трансп. каталог'!$F$3:$I$743,4,0)</f>
        <v>0</v>
      </c>
    </row>
    <row r="55" spans="1:18" hidden="1" x14ac:dyDescent="0.2">
      <c r="A55" s="21" t="s">
        <v>249</v>
      </c>
      <c r="B55" s="22" t="s">
        <v>2</v>
      </c>
      <c r="C55" s="22" t="s">
        <v>3</v>
      </c>
      <c r="D55" s="20" t="s">
        <v>250</v>
      </c>
      <c r="E55" s="20" t="s">
        <v>427</v>
      </c>
      <c r="F55" s="20" t="str">
        <f>VLOOKUP(I55,'Трансп. каталог'!$F$3:$I$743,2,0)</f>
        <v>не позднее 26.09.2025</v>
      </c>
      <c r="G55" s="66">
        <f>VLOOKUP(I55,'Трансп. каталог'!$F$3:$I$743,3,0)</f>
        <v>0</v>
      </c>
      <c r="H55" s="21" t="s">
        <v>428</v>
      </c>
      <c r="I55" s="23" t="str">
        <f t="shared" si="1"/>
        <v>060601012092025</v>
      </c>
      <c r="J55" s="42" t="s">
        <v>516</v>
      </c>
      <c r="K55" s="42" t="s">
        <v>485</v>
      </c>
      <c r="L55" s="42" t="s">
        <v>587</v>
      </c>
      <c r="M55" s="84" t="s">
        <v>485</v>
      </c>
      <c r="N55" s="89" t="s">
        <v>630</v>
      </c>
      <c r="O55" s="89" t="s">
        <v>1368</v>
      </c>
      <c r="P55" s="20" t="s">
        <v>251</v>
      </c>
      <c r="Q55" s="20" t="s">
        <v>78</v>
      </c>
      <c r="R55" s="75">
        <f>VLOOKUP(I55,'Трансп. каталог'!$F$3:$I$743,4,0)</f>
        <v>0</v>
      </c>
    </row>
    <row r="56" spans="1:18" hidden="1" x14ac:dyDescent="0.2">
      <c r="A56" s="24" t="s">
        <v>249</v>
      </c>
      <c r="B56" s="5" t="s">
        <v>2</v>
      </c>
      <c r="C56" s="5" t="s">
        <v>3</v>
      </c>
      <c r="D56" s="4" t="s">
        <v>250</v>
      </c>
      <c r="E56" s="4" t="s">
        <v>431</v>
      </c>
      <c r="F56" s="4" t="str">
        <f>VLOOKUP(I56,'Трансп. каталог'!$F$3:$I$743,2,0)</f>
        <v>не позднее 29.10.2025</v>
      </c>
      <c r="G56" s="67">
        <f>VLOOKUP(I56,'Трансп. каталог'!$F$3:$I$743,3,0)</f>
        <v>0</v>
      </c>
      <c r="H56" s="24" t="s">
        <v>432</v>
      </c>
      <c r="I56" s="25" t="str">
        <f t="shared" si="1"/>
        <v>060601012102025</v>
      </c>
      <c r="J56" s="43" t="s">
        <v>668</v>
      </c>
      <c r="K56" s="43" t="s">
        <v>602</v>
      </c>
      <c r="L56" s="43" t="s">
        <v>583</v>
      </c>
      <c r="M56" s="85" t="s">
        <v>602</v>
      </c>
      <c r="N56" s="90" t="s">
        <v>505</v>
      </c>
      <c r="O56" s="90" t="s">
        <v>518</v>
      </c>
      <c r="P56" s="4" t="s">
        <v>251</v>
      </c>
      <c r="Q56" s="4" t="s">
        <v>78</v>
      </c>
      <c r="R56" s="71">
        <f>VLOOKUP(I56,'Трансп. каталог'!$F$3:$I$743,4,0)</f>
        <v>0</v>
      </c>
    </row>
    <row r="57" spans="1:18" hidden="1" x14ac:dyDescent="0.2">
      <c r="A57" s="27" t="s">
        <v>249</v>
      </c>
      <c r="B57" s="28" t="s">
        <v>2</v>
      </c>
      <c r="C57" s="28" t="s">
        <v>3</v>
      </c>
      <c r="D57" s="26" t="s">
        <v>250</v>
      </c>
      <c r="E57" s="26" t="s">
        <v>435</v>
      </c>
      <c r="F57" s="26" t="str">
        <f>VLOOKUP(I57,'Трансп. каталог'!$F$3:$I$743,2,0)</f>
        <v>не позднее 28.11.2025</v>
      </c>
      <c r="G57" s="68">
        <f>VLOOKUP(I57,'Трансп. каталог'!$F$3:$I$743,3,0)</f>
        <v>0</v>
      </c>
      <c r="H57" s="27" t="s">
        <v>436</v>
      </c>
      <c r="I57" s="29" t="str">
        <f t="shared" si="1"/>
        <v>060601012112025</v>
      </c>
      <c r="J57" s="44" t="s">
        <v>519</v>
      </c>
      <c r="K57" s="44" t="s">
        <v>608</v>
      </c>
      <c r="L57" s="44" t="s">
        <v>542</v>
      </c>
      <c r="M57" s="86" t="s">
        <v>608</v>
      </c>
      <c r="N57" s="91" t="s">
        <v>652</v>
      </c>
      <c r="O57" s="91" t="s">
        <v>557</v>
      </c>
      <c r="P57" s="26" t="s">
        <v>251</v>
      </c>
      <c r="Q57" s="26" t="s">
        <v>78</v>
      </c>
      <c r="R57" s="72">
        <f>VLOOKUP(I57,'Трансп. каталог'!$F$3:$I$743,4,0)</f>
        <v>0</v>
      </c>
    </row>
    <row r="58" spans="1:18" hidden="1" x14ac:dyDescent="0.2">
      <c r="A58" s="18" t="s">
        <v>249</v>
      </c>
      <c r="B58" s="3" t="s">
        <v>2</v>
      </c>
      <c r="C58" s="3" t="s">
        <v>3</v>
      </c>
      <c r="D58" s="2" t="s">
        <v>250</v>
      </c>
      <c r="E58" s="2" t="s">
        <v>439</v>
      </c>
      <c r="F58" s="2" t="str">
        <f>VLOOKUP(I58,'Трансп. каталог'!$F$3:$I$743,2,0)</f>
        <v>не позднее 26.12.2025</v>
      </c>
      <c r="G58" s="65">
        <f>VLOOKUP(I58,'Трансп. каталог'!$F$3:$I$743,3,0)</f>
        <v>0</v>
      </c>
      <c r="H58" s="18" t="s">
        <v>440</v>
      </c>
      <c r="I58" s="19" t="str">
        <f t="shared" si="1"/>
        <v>060601012122025</v>
      </c>
      <c r="J58" s="41" t="s">
        <v>633</v>
      </c>
      <c r="K58" s="41" t="s">
        <v>487</v>
      </c>
      <c r="L58" s="41" t="s">
        <v>657</v>
      </c>
      <c r="M58" s="83" t="s">
        <v>487</v>
      </c>
      <c r="N58" s="88" t="s">
        <v>442</v>
      </c>
      <c r="O58" s="88" t="s">
        <v>575</v>
      </c>
      <c r="P58" s="2" t="s">
        <v>251</v>
      </c>
      <c r="Q58" s="2" t="s">
        <v>78</v>
      </c>
      <c r="R58" s="74">
        <f>VLOOKUP(I58,'Трансп. каталог'!$F$3:$I$743,4,0)</f>
        <v>0</v>
      </c>
    </row>
    <row r="59" spans="1:18" hidden="1" x14ac:dyDescent="0.2">
      <c r="A59" s="21" t="s">
        <v>249</v>
      </c>
      <c r="B59" s="22" t="s">
        <v>2</v>
      </c>
      <c r="C59" s="22" t="s">
        <v>3</v>
      </c>
      <c r="D59" s="20" t="s">
        <v>1416</v>
      </c>
      <c r="E59" s="20" t="s">
        <v>446</v>
      </c>
      <c r="F59" s="20" t="str">
        <f>VLOOKUP(I59,'Трансп. каталог'!$F$3:$I$743,2,0)</f>
        <v>не позднее 28.03.2025</v>
      </c>
      <c r="G59" s="66">
        <f>VLOOKUP(I59,'Трансп. каталог'!$F$3:$I$743,3,0)</f>
        <v>0</v>
      </c>
      <c r="H59" s="21" t="s">
        <v>447</v>
      </c>
      <c r="I59" s="23" t="str">
        <f t="shared" si="1"/>
        <v>060601004012025</v>
      </c>
      <c r="J59" s="94" t="s">
        <v>511</v>
      </c>
      <c r="K59" s="94" t="s">
        <v>393</v>
      </c>
      <c r="L59" s="94" t="s">
        <v>528</v>
      </c>
      <c r="M59" s="102" t="s">
        <v>393</v>
      </c>
      <c r="N59" s="103" t="s">
        <v>499</v>
      </c>
      <c r="O59" s="103" t="s">
        <v>547</v>
      </c>
      <c r="P59" s="20" t="s">
        <v>262</v>
      </c>
      <c r="Q59" s="20" t="s">
        <v>78</v>
      </c>
      <c r="R59" s="75">
        <f>VLOOKUP(I59,'Трансп. каталог'!$F$3:$I$743,4,0)</f>
        <v>0</v>
      </c>
    </row>
    <row r="60" spans="1:18" hidden="1" x14ac:dyDescent="0.2">
      <c r="A60" s="24" t="s">
        <v>249</v>
      </c>
      <c r="B60" s="5" t="s">
        <v>2</v>
      </c>
      <c r="C60" s="5" t="s">
        <v>3</v>
      </c>
      <c r="D60" s="4" t="s">
        <v>1416</v>
      </c>
      <c r="E60" s="4" t="s">
        <v>449</v>
      </c>
      <c r="F60" s="4" t="str">
        <f>VLOOKUP(I60,'Трансп. каталог'!$F$3:$I$743,2,0)</f>
        <v>не позднее 27.06.2025</v>
      </c>
      <c r="G60" s="67">
        <f>VLOOKUP(I60,'Трансп. каталог'!$F$3:$I$743,3,0)</f>
        <v>0</v>
      </c>
      <c r="H60" s="24" t="s">
        <v>450</v>
      </c>
      <c r="I60" s="25" t="str">
        <f t="shared" si="1"/>
        <v>060601004022025</v>
      </c>
      <c r="J60" s="110" t="s">
        <v>513</v>
      </c>
      <c r="K60" s="110" t="s">
        <v>483</v>
      </c>
      <c r="L60" s="110" t="s">
        <v>534</v>
      </c>
      <c r="M60" s="102" t="s">
        <v>483</v>
      </c>
      <c r="N60" s="103" t="s">
        <v>501</v>
      </c>
      <c r="O60" s="103" t="s">
        <v>551</v>
      </c>
      <c r="P60" s="4" t="s">
        <v>262</v>
      </c>
      <c r="Q60" s="4" t="s">
        <v>78</v>
      </c>
      <c r="R60" s="71">
        <f>VLOOKUP(I60,'Трансп. каталог'!$F$3:$I$743,4,0)</f>
        <v>0</v>
      </c>
    </row>
    <row r="61" spans="1:18" hidden="1" x14ac:dyDescent="0.2">
      <c r="A61" s="27" t="s">
        <v>249</v>
      </c>
      <c r="B61" s="28" t="s">
        <v>2</v>
      </c>
      <c r="C61" s="28" t="s">
        <v>3</v>
      </c>
      <c r="D61" s="26" t="s">
        <v>1416</v>
      </c>
      <c r="E61" s="26" t="s">
        <v>452</v>
      </c>
      <c r="F61" s="26" t="str">
        <f>VLOOKUP(I61,'Трансп. каталог'!$F$3:$I$743,2,0)</f>
        <v>не позднее 26.09.2025</v>
      </c>
      <c r="G61" s="68">
        <f>VLOOKUP(I61,'Трансп. каталог'!$F$3:$I$743,3,0)</f>
        <v>0</v>
      </c>
      <c r="H61" s="27" t="s">
        <v>453</v>
      </c>
      <c r="I61" s="29" t="str">
        <f t="shared" si="1"/>
        <v>060601004032025</v>
      </c>
      <c r="J61" s="44" t="s">
        <v>516</v>
      </c>
      <c r="K61" s="44" t="s">
        <v>485</v>
      </c>
      <c r="L61" s="44" t="s">
        <v>455</v>
      </c>
      <c r="M61" s="86" t="s">
        <v>485</v>
      </c>
      <c r="N61" s="91" t="s">
        <v>630</v>
      </c>
      <c r="O61" s="91" t="s">
        <v>1368</v>
      </c>
      <c r="P61" s="26" t="s">
        <v>262</v>
      </c>
      <c r="Q61" s="26" t="s">
        <v>78</v>
      </c>
      <c r="R61" s="72">
        <f>VLOOKUP(I61,'Трансп. каталог'!$F$3:$I$743,4,0)</f>
        <v>0</v>
      </c>
    </row>
    <row r="62" spans="1:18" hidden="1" x14ac:dyDescent="0.2">
      <c r="A62" s="15" t="s">
        <v>249</v>
      </c>
      <c r="B62" s="16" t="s">
        <v>2</v>
      </c>
      <c r="C62" s="16" t="s">
        <v>3</v>
      </c>
      <c r="D62" s="14" t="s">
        <v>1416</v>
      </c>
      <c r="E62" s="14" t="s">
        <v>456</v>
      </c>
      <c r="F62" s="14" t="str">
        <f>VLOOKUP(I62,'Трансп. каталог'!$F$3:$I$743,2,0)</f>
        <v>не позднее 26.12.2025</v>
      </c>
      <c r="G62" s="64">
        <f>VLOOKUP(I62,'Трансп. каталог'!$F$3:$I$743,3,0)</f>
        <v>0</v>
      </c>
      <c r="H62" s="15" t="s">
        <v>457</v>
      </c>
      <c r="I62" s="17" t="str">
        <f t="shared" si="1"/>
        <v>060601004042025</v>
      </c>
      <c r="J62" s="40" t="s">
        <v>633</v>
      </c>
      <c r="K62" s="40" t="s">
        <v>487</v>
      </c>
      <c r="L62" s="40" t="s">
        <v>684</v>
      </c>
      <c r="M62" s="82" t="s">
        <v>487</v>
      </c>
      <c r="N62" s="87" t="s">
        <v>442</v>
      </c>
      <c r="O62" s="87" t="s">
        <v>575</v>
      </c>
      <c r="P62" s="14" t="s">
        <v>262</v>
      </c>
      <c r="Q62" s="14" t="s">
        <v>78</v>
      </c>
      <c r="R62" s="73">
        <f>VLOOKUP(I62,'Трансп. каталог'!$F$3:$I$743,4,0)</f>
        <v>0</v>
      </c>
    </row>
    <row r="63" spans="1:18" hidden="1" x14ac:dyDescent="0.2">
      <c r="A63" s="15" t="s">
        <v>7</v>
      </c>
      <c r="B63" s="16" t="s">
        <v>2</v>
      </c>
      <c r="C63" s="16" t="s">
        <v>3</v>
      </c>
      <c r="D63" s="14" t="s">
        <v>8</v>
      </c>
      <c r="E63" s="14" t="s">
        <v>395</v>
      </c>
      <c r="F63" s="14" t="str">
        <f>VLOOKUP(I63,'Трансп. каталог'!$F$3:$I$743,2,0)</f>
        <v>не позднее 29.01.2025</v>
      </c>
      <c r="G63" s="64">
        <f>VLOOKUP(I63,'Трансп. каталог'!$F$3:$I$743,3,0)</f>
        <v>0</v>
      </c>
      <c r="H63" s="15" t="s">
        <v>396</v>
      </c>
      <c r="I63" s="17" t="str">
        <f t="shared" si="1"/>
        <v>060601312012025</v>
      </c>
      <c r="J63" s="92" t="s">
        <v>398</v>
      </c>
      <c r="K63" s="92" t="s">
        <v>397</v>
      </c>
      <c r="L63" s="92" t="s">
        <v>398</v>
      </c>
      <c r="M63" s="96" t="s">
        <v>397</v>
      </c>
      <c r="N63" s="95" t="s">
        <v>1401</v>
      </c>
      <c r="O63" s="95" t="s">
        <v>1401</v>
      </c>
      <c r="P63" s="14" t="s">
        <v>9</v>
      </c>
      <c r="Q63" s="14" t="s">
        <v>10</v>
      </c>
      <c r="R63" s="73" t="s">
        <v>1405</v>
      </c>
    </row>
    <row r="64" spans="1:18" hidden="1" x14ac:dyDescent="0.2">
      <c r="A64" s="15" t="s">
        <v>7</v>
      </c>
      <c r="B64" s="16" t="s">
        <v>2</v>
      </c>
      <c r="C64" s="16" t="s">
        <v>3</v>
      </c>
      <c r="D64" s="14" t="s">
        <v>8</v>
      </c>
      <c r="E64" s="14" t="s">
        <v>399</v>
      </c>
      <c r="F64" s="14" t="str">
        <f>VLOOKUP(I64,'Трансп. каталог'!$F$3:$I$743,2,0)</f>
        <v>не позднее 27.02.2025</v>
      </c>
      <c r="G64" s="64">
        <f>VLOOKUP(I64,'Трансп. каталог'!$F$3:$I$743,3,0)</f>
        <v>0</v>
      </c>
      <c r="H64" s="15" t="s">
        <v>400</v>
      </c>
      <c r="I64" s="17" t="str">
        <f t="shared" si="1"/>
        <v>060601312022025</v>
      </c>
      <c r="J64" s="92" t="s">
        <v>402</v>
      </c>
      <c r="K64" s="92" t="s">
        <v>401</v>
      </c>
      <c r="L64" s="92" t="s">
        <v>402</v>
      </c>
      <c r="M64" s="96" t="s">
        <v>401</v>
      </c>
      <c r="N64" s="95" t="s">
        <v>1401</v>
      </c>
      <c r="O64" s="95" t="s">
        <v>1401</v>
      </c>
      <c r="P64" s="14" t="s">
        <v>9</v>
      </c>
      <c r="Q64" s="14" t="s">
        <v>10</v>
      </c>
      <c r="R64" s="73" t="s">
        <v>1405</v>
      </c>
    </row>
    <row r="65" spans="1:18" hidden="1" x14ac:dyDescent="0.2">
      <c r="A65" s="18" t="s">
        <v>7</v>
      </c>
      <c r="B65" s="3" t="s">
        <v>2</v>
      </c>
      <c r="C65" s="3" t="s">
        <v>3</v>
      </c>
      <c r="D65" s="2" t="s">
        <v>8</v>
      </c>
      <c r="E65" s="2" t="s">
        <v>403</v>
      </c>
      <c r="F65" s="2" t="str">
        <f>VLOOKUP(I65,'Трансп. каталог'!$F$3:$I$743,2,0)</f>
        <v>не позднее 28.03.2025</v>
      </c>
      <c r="G65" s="65">
        <f>VLOOKUP(I65,'Трансп. каталог'!$F$3:$I$743,3,0)</f>
        <v>0</v>
      </c>
      <c r="H65" s="18" t="s">
        <v>404</v>
      </c>
      <c r="I65" s="19" t="str">
        <f t="shared" si="1"/>
        <v>060601312032025</v>
      </c>
      <c r="J65" s="93" t="s">
        <v>406</v>
      </c>
      <c r="K65" s="93" t="s">
        <v>405</v>
      </c>
      <c r="L65" s="93" t="s">
        <v>406</v>
      </c>
      <c r="M65" s="99" t="s">
        <v>405</v>
      </c>
      <c r="N65" s="95" t="s">
        <v>1401</v>
      </c>
      <c r="O65" s="95" t="s">
        <v>1401</v>
      </c>
      <c r="P65" s="2" t="s">
        <v>9</v>
      </c>
      <c r="Q65" s="2" t="s">
        <v>10</v>
      </c>
      <c r="R65" s="74" t="s">
        <v>1405</v>
      </c>
    </row>
    <row r="66" spans="1:18" hidden="1" x14ac:dyDescent="0.2">
      <c r="A66" s="21" t="s">
        <v>7</v>
      </c>
      <c r="B66" s="22" t="s">
        <v>2</v>
      </c>
      <c r="C66" s="22" t="s">
        <v>3</v>
      </c>
      <c r="D66" s="20" t="s">
        <v>8</v>
      </c>
      <c r="E66" s="20" t="s">
        <v>407</v>
      </c>
      <c r="F66" s="20" t="str">
        <f>VLOOKUP(I66,'Трансп. каталог'!$F$3:$I$743,2,0)</f>
        <v>не позднее 28.04.2025</v>
      </c>
      <c r="G66" s="66">
        <f>VLOOKUP(I66,'Трансп. каталог'!$F$3:$I$743,3,0)</f>
        <v>0</v>
      </c>
      <c r="H66" s="21" t="s">
        <v>408</v>
      </c>
      <c r="I66" s="23" t="str">
        <f t="shared" si="1"/>
        <v>060601312042025</v>
      </c>
      <c r="J66" s="94" t="s">
        <v>410</v>
      </c>
      <c r="K66" s="94" t="s">
        <v>409</v>
      </c>
      <c r="L66" s="94" t="s">
        <v>410</v>
      </c>
      <c r="M66" s="99" t="s">
        <v>409</v>
      </c>
      <c r="N66" s="95" t="s">
        <v>1401</v>
      </c>
      <c r="O66" s="95" t="s">
        <v>1401</v>
      </c>
      <c r="P66" s="20" t="s">
        <v>9</v>
      </c>
      <c r="Q66" s="20" t="s">
        <v>10</v>
      </c>
      <c r="R66" s="74" t="s">
        <v>1405</v>
      </c>
    </row>
    <row r="67" spans="1:18" hidden="1" x14ac:dyDescent="0.2">
      <c r="A67" s="24" t="s">
        <v>7</v>
      </c>
      <c r="B67" s="5" t="s">
        <v>2</v>
      </c>
      <c r="C67" s="5" t="s">
        <v>3</v>
      </c>
      <c r="D67" s="4" t="s">
        <v>8</v>
      </c>
      <c r="E67" s="4" t="s">
        <v>411</v>
      </c>
      <c r="F67" s="4" t="str">
        <f>VLOOKUP(I67,'Трансп. каталог'!$F$3:$I$743,2,0)</f>
        <v>не позднее 29.05.2025</v>
      </c>
      <c r="G67" s="67">
        <f>VLOOKUP(I67,'Трансп. каталог'!$F$3:$I$743,3,0)</f>
        <v>0</v>
      </c>
      <c r="H67" s="24" t="s">
        <v>412</v>
      </c>
      <c r="I67" s="25" t="str">
        <f t="shared" si="1"/>
        <v>060601312052025</v>
      </c>
      <c r="J67" s="110" t="s">
        <v>414</v>
      </c>
      <c r="K67" s="110" t="s">
        <v>413</v>
      </c>
      <c r="L67" s="110" t="s">
        <v>414</v>
      </c>
      <c r="M67" s="99" t="s">
        <v>413</v>
      </c>
      <c r="N67" s="95" t="s">
        <v>1401</v>
      </c>
      <c r="O67" s="95" t="s">
        <v>1401</v>
      </c>
      <c r="P67" s="4" t="s">
        <v>9</v>
      </c>
      <c r="Q67" s="4" t="s">
        <v>10</v>
      </c>
      <c r="R67" s="74" t="s">
        <v>1405</v>
      </c>
    </row>
    <row r="68" spans="1:18" hidden="1" x14ac:dyDescent="0.2">
      <c r="A68" s="27" t="s">
        <v>7</v>
      </c>
      <c r="B68" s="28" t="s">
        <v>2</v>
      </c>
      <c r="C68" s="28" t="s">
        <v>3</v>
      </c>
      <c r="D68" s="26" t="s">
        <v>8</v>
      </c>
      <c r="E68" s="26" t="s">
        <v>415</v>
      </c>
      <c r="F68" s="26" t="str">
        <f>VLOOKUP(I68,'Трансп. каталог'!$F$3:$I$743,2,0)</f>
        <v>не позднее 27.06.2025</v>
      </c>
      <c r="G68" s="68">
        <f>VLOOKUP(I68,'Трансп. каталог'!$F$3:$I$743,3,0)</f>
        <v>0</v>
      </c>
      <c r="H68" s="27" t="s">
        <v>416</v>
      </c>
      <c r="I68" s="29" t="str">
        <f t="shared" si="1"/>
        <v>060601312062025</v>
      </c>
      <c r="J68" s="141" t="s">
        <v>418</v>
      </c>
      <c r="K68" s="141" t="s">
        <v>417</v>
      </c>
      <c r="L68" s="141" t="s">
        <v>418</v>
      </c>
      <c r="M68" s="99" t="s">
        <v>417</v>
      </c>
      <c r="N68" s="95" t="s">
        <v>1401</v>
      </c>
      <c r="O68" s="95" t="s">
        <v>1401</v>
      </c>
      <c r="P68" s="26" t="s">
        <v>9</v>
      </c>
      <c r="Q68" s="26" t="s">
        <v>10</v>
      </c>
      <c r="R68" s="74" t="s">
        <v>1405</v>
      </c>
    </row>
    <row r="69" spans="1:18" hidden="1" x14ac:dyDescent="0.2">
      <c r="A69" s="18" t="s">
        <v>7</v>
      </c>
      <c r="B69" s="3" t="s">
        <v>2</v>
      </c>
      <c r="C69" s="3" t="s">
        <v>3</v>
      </c>
      <c r="D69" s="2" t="s">
        <v>8</v>
      </c>
      <c r="E69" s="2" t="s">
        <v>419</v>
      </c>
      <c r="F69" s="2" t="str">
        <f>VLOOKUP(I69,'Трансп. каталог'!$F$3:$I$743,2,0)</f>
        <v>не позднее 29.07.2025</v>
      </c>
      <c r="G69" s="65">
        <f>VLOOKUP(I69,'Трансп. каталог'!$F$3:$I$743,3,0)</f>
        <v>0</v>
      </c>
      <c r="H69" s="18" t="s">
        <v>420</v>
      </c>
      <c r="I69" s="19" t="str">
        <f t="shared" si="1"/>
        <v>060601312072025</v>
      </c>
      <c r="J69" s="93" t="s">
        <v>422</v>
      </c>
      <c r="K69" s="93" t="s">
        <v>421</v>
      </c>
      <c r="L69" s="93" t="s">
        <v>422</v>
      </c>
      <c r="M69" s="83" t="s">
        <v>421</v>
      </c>
      <c r="N69" s="88" t="s">
        <v>1401</v>
      </c>
      <c r="O69" s="88" t="s">
        <v>1401</v>
      </c>
      <c r="P69" s="2" t="s">
        <v>9</v>
      </c>
      <c r="Q69" s="2" t="s">
        <v>10</v>
      </c>
      <c r="R69" s="74" t="s">
        <v>1405</v>
      </c>
    </row>
    <row r="70" spans="1:18" hidden="1" x14ac:dyDescent="0.2">
      <c r="A70" s="21" t="s">
        <v>7</v>
      </c>
      <c r="B70" s="22" t="s">
        <v>2</v>
      </c>
      <c r="C70" s="22" t="s">
        <v>3</v>
      </c>
      <c r="D70" s="20" t="s">
        <v>8</v>
      </c>
      <c r="E70" s="20" t="s">
        <v>423</v>
      </c>
      <c r="F70" s="20" t="str">
        <f>VLOOKUP(I70,'Трансп. каталог'!$F$3:$I$743,2,0)</f>
        <v>не позднее 29.08.2025</v>
      </c>
      <c r="G70" s="66">
        <f>VLOOKUP(I70,'Трансп. каталог'!$F$3:$I$743,3,0)</f>
        <v>0</v>
      </c>
      <c r="H70" s="21" t="s">
        <v>424</v>
      </c>
      <c r="I70" s="23" t="str">
        <f t="shared" si="1"/>
        <v>060601312082025</v>
      </c>
      <c r="J70" s="42" t="s">
        <v>426</v>
      </c>
      <c r="K70" s="42" t="s">
        <v>425</v>
      </c>
      <c r="L70" s="42" t="s">
        <v>426</v>
      </c>
      <c r="M70" s="84" t="s">
        <v>425</v>
      </c>
      <c r="N70" s="88" t="s">
        <v>1401</v>
      </c>
      <c r="O70" s="88" t="s">
        <v>1401</v>
      </c>
      <c r="P70" s="20" t="s">
        <v>9</v>
      </c>
      <c r="Q70" s="20" t="s">
        <v>10</v>
      </c>
      <c r="R70" s="74" t="s">
        <v>1405</v>
      </c>
    </row>
    <row r="71" spans="1:18" hidden="1" x14ac:dyDescent="0.2">
      <c r="A71" s="24" t="s">
        <v>7</v>
      </c>
      <c r="B71" s="5" t="s">
        <v>2</v>
      </c>
      <c r="C71" s="5" t="s">
        <v>3</v>
      </c>
      <c r="D71" s="4" t="s">
        <v>8</v>
      </c>
      <c r="E71" s="4" t="s">
        <v>427</v>
      </c>
      <c r="F71" s="4" t="str">
        <f>VLOOKUP(I71,'Трансп. каталог'!$F$3:$I$743,2,0)</f>
        <v>не позднее 26.09.2025</v>
      </c>
      <c r="G71" s="67">
        <f>VLOOKUP(I71,'Трансп. каталог'!$F$3:$I$743,3,0)</f>
        <v>0</v>
      </c>
      <c r="H71" s="24" t="s">
        <v>428</v>
      </c>
      <c r="I71" s="25" t="str">
        <f t="shared" si="1"/>
        <v>060601312092025</v>
      </c>
      <c r="J71" s="43" t="s">
        <v>430</v>
      </c>
      <c r="K71" s="43" t="s">
        <v>429</v>
      </c>
      <c r="L71" s="43" t="s">
        <v>430</v>
      </c>
      <c r="M71" s="85" t="s">
        <v>429</v>
      </c>
      <c r="N71" s="88" t="s">
        <v>1401</v>
      </c>
      <c r="O71" s="88" t="s">
        <v>1401</v>
      </c>
      <c r="P71" s="4" t="s">
        <v>9</v>
      </c>
      <c r="Q71" s="4" t="s">
        <v>10</v>
      </c>
      <c r="R71" s="74" t="s">
        <v>1405</v>
      </c>
    </row>
    <row r="72" spans="1:18" hidden="1" x14ac:dyDescent="0.2">
      <c r="A72" s="27" t="s">
        <v>7</v>
      </c>
      <c r="B72" s="28" t="s">
        <v>2</v>
      </c>
      <c r="C72" s="28" t="s">
        <v>3</v>
      </c>
      <c r="D72" s="26" t="s">
        <v>8</v>
      </c>
      <c r="E72" s="26" t="s">
        <v>431</v>
      </c>
      <c r="F72" s="26" t="str">
        <f>VLOOKUP(I72,'Трансп. каталог'!$F$3:$I$743,2,0)</f>
        <v>не позднее 29.10.2025</v>
      </c>
      <c r="G72" s="68">
        <f>VLOOKUP(I72,'Трансп. каталог'!$F$3:$I$743,3,0)</f>
        <v>0</v>
      </c>
      <c r="H72" s="27" t="s">
        <v>432</v>
      </c>
      <c r="I72" s="29" t="str">
        <f t="shared" si="1"/>
        <v>060601312102025</v>
      </c>
      <c r="J72" s="44" t="s">
        <v>434</v>
      </c>
      <c r="K72" s="44" t="s">
        <v>433</v>
      </c>
      <c r="L72" s="44" t="s">
        <v>434</v>
      </c>
      <c r="M72" s="86" t="s">
        <v>433</v>
      </c>
      <c r="N72" s="88" t="s">
        <v>1401</v>
      </c>
      <c r="O72" s="88" t="s">
        <v>1401</v>
      </c>
      <c r="P72" s="26" t="s">
        <v>9</v>
      </c>
      <c r="Q72" s="26" t="s">
        <v>10</v>
      </c>
      <c r="R72" s="74" t="s">
        <v>1405</v>
      </c>
    </row>
    <row r="73" spans="1:18" hidden="1" x14ac:dyDescent="0.2">
      <c r="A73" s="18" t="s">
        <v>7</v>
      </c>
      <c r="B73" s="3" t="s">
        <v>2</v>
      </c>
      <c r="C73" s="3" t="s">
        <v>3</v>
      </c>
      <c r="D73" s="2" t="s">
        <v>8</v>
      </c>
      <c r="E73" s="2" t="s">
        <v>435</v>
      </c>
      <c r="F73" s="2" t="str">
        <f>VLOOKUP(I73,'Трансп. каталог'!$F$3:$I$743,2,0)</f>
        <v>не позднее 28.11.2025</v>
      </c>
      <c r="G73" s="65">
        <f>VLOOKUP(I73,'Трансп. каталог'!$F$3:$I$743,3,0)</f>
        <v>0</v>
      </c>
      <c r="H73" s="18" t="s">
        <v>436</v>
      </c>
      <c r="I73" s="19" t="str">
        <f t="shared" si="1"/>
        <v>060601312112025</v>
      </c>
      <c r="J73" s="41" t="s">
        <v>438</v>
      </c>
      <c r="K73" s="41" t="s">
        <v>437</v>
      </c>
      <c r="L73" s="41" t="s">
        <v>438</v>
      </c>
      <c r="M73" s="83" t="s">
        <v>437</v>
      </c>
      <c r="N73" s="88" t="s">
        <v>1401</v>
      </c>
      <c r="O73" s="88" t="s">
        <v>1401</v>
      </c>
      <c r="P73" s="2" t="s">
        <v>9</v>
      </c>
      <c r="Q73" s="2" t="s">
        <v>10</v>
      </c>
      <c r="R73" s="74" t="s">
        <v>1405</v>
      </c>
    </row>
    <row r="74" spans="1:18" hidden="1" x14ac:dyDescent="0.2">
      <c r="A74" s="21" t="s">
        <v>7</v>
      </c>
      <c r="B74" s="22" t="s">
        <v>2</v>
      </c>
      <c r="C74" s="22" t="s">
        <v>3</v>
      </c>
      <c r="D74" s="20" t="s">
        <v>8</v>
      </c>
      <c r="E74" s="20" t="s">
        <v>439</v>
      </c>
      <c r="F74" s="20" t="str">
        <f>VLOOKUP(I74,'Трансп. каталог'!$F$3:$I$743,2,0)</f>
        <v>не позднее 26.12.2025</v>
      </c>
      <c r="G74" s="66">
        <f>VLOOKUP(I74,'Трансп. каталог'!$F$3:$I$743,3,0)</f>
        <v>0</v>
      </c>
      <c r="H74" s="21" t="s">
        <v>440</v>
      </c>
      <c r="I74" s="23" t="str">
        <f t="shared" si="1"/>
        <v>060601312122025</v>
      </c>
      <c r="J74" s="42" t="s">
        <v>481</v>
      </c>
      <c r="K74" s="42" t="s">
        <v>441</v>
      </c>
      <c r="L74" s="42" t="s">
        <v>442</v>
      </c>
      <c r="M74" s="83" t="s">
        <v>441</v>
      </c>
      <c r="N74" s="88" t="s">
        <v>1401</v>
      </c>
      <c r="O74" s="88" t="s">
        <v>1401</v>
      </c>
      <c r="P74" s="20" t="s">
        <v>9</v>
      </c>
      <c r="Q74" s="20" t="s">
        <v>10</v>
      </c>
      <c r="R74" s="74" t="s">
        <v>1405</v>
      </c>
    </row>
    <row r="75" spans="1:18" hidden="1" x14ac:dyDescent="0.2">
      <c r="A75" s="24" t="s">
        <v>193</v>
      </c>
      <c r="B75" s="5" t="s">
        <v>2</v>
      </c>
      <c r="C75" s="5" t="s">
        <v>3</v>
      </c>
      <c r="D75" s="4" t="s">
        <v>194</v>
      </c>
      <c r="E75" s="4" t="s">
        <v>446</v>
      </c>
      <c r="F75" s="4" t="str">
        <f>VLOOKUP(I75,'Трансп. каталог'!$F$3:$I$743,2,0)</f>
        <v>не позднее 28.03.2025</v>
      </c>
      <c r="G75" s="67">
        <f>VLOOKUP(I75,'Трансп. каталог'!$F$3:$I$743,3,0)</f>
        <v>0</v>
      </c>
      <c r="H75" s="24" t="s">
        <v>447</v>
      </c>
      <c r="I75" s="25" t="str">
        <f t="shared" si="1"/>
        <v>060602804012025</v>
      </c>
      <c r="J75" s="110" t="s">
        <v>660</v>
      </c>
      <c r="K75" s="110" t="s">
        <v>680</v>
      </c>
      <c r="L75" s="110" t="s">
        <v>671</v>
      </c>
      <c r="M75" s="115">
        <v>45747</v>
      </c>
      <c r="N75" s="95" t="s">
        <v>406</v>
      </c>
      <c r="O75" s="95" t="s">
        <v>570</v>
      </c>
      <c r="P75" s="4" t="s">
        <v>195</v>
      </c>
      <c r="Q75" s="4" t="s">
        <v>33</v>
      </c>
      <c r="R75" s="74">
        <f>VLOOKUP(I75,'Трансп. каталог'!$F$3:$I$743,4,0)</f>
        <v>0</v>
      </c>
    </row>
    <row r="76" spans="1:18" hidden="1" x14ac:dyDescent="0.2">
      <c r="A76" s="24" t="s">
        <v>193</v>
      </c>
      <c r="B76" s="5" t="s">
        <v>2</v>
      </c>
      <c r="C76" s="5" t="s">
        <v>3</v>
      </c>
      <c r="D76" s="4" t="s">
        <v>194</v>
      </c>
      <c r="E76" s="4" t="s">
        <v>449</v>
      </c>
      <c r="F76" s="4" t="str">
        <f>VLOOKUP(I76,'Трансп. каталог'!$F$3:$I$743,2,0)</f>
        <v>не позднее 27.06.2025</v>
      </c>
      <c r="G76" s="67">
        <f>VLOOKUP(I76,'Трансп. каталог'!$F$3:$I$743,3,0)</f>
        <v>0</v>
      </c>
      <c r="H76" s="24" t="s">
        <v>450</v>
      </c>
      <c r="I76" s="25" t="str">
        <f t="shared" si="1"/>
        <v>060602804022025</v>
      </c>
      <c r="J76" s="110" t="s">
        <v>626</v>
      </c>
      <c r="K76" s="110" t="s">
        <v>681</v>
      </c>
      <c r="L76" s="110" t="s">
        <v>533</v>
      </c>
      <c r="M76" s="115" t="s">
        <v>681</v>
      </c>
      <c r="N76" s="95" t="s">
        <v>418</v>
      </c>
      <c r="O76" s="95" t="s">
        <v>572</v>
      </c>
      <c r="P76" s="4" t="s">
        <v>195</v>
      </c>
      <c r="Q76" s="4" t="s">
        <v>33</v>
      </c>
      <c r="R76" s="74">
        <f>VLOOKUP(I76,'Трансп. каталог'!$F$3:$I$743,4,0)</f>
        <v>0</v>
      </c>
    </row>
    <row r="77" spans="1:18" hidden="1" x14ac:dyDescent="0.2">
      <c r="A77" s="24" t="s">
        <v>193</v>
      </c>
      <c r="B77" s="5" t="s">
        <v>2</v>
      </c>
      <c r="C77" s="5" t="s">
        <v>3</v>
      </c>
      <c r="D77" s="4" t="s">
        <v>194</v>
      </c>
      <c r="E77" s="4" t="s">
        <v>452</v>
      </c>
      <c r="F77" s="4" t="str">
        <f>VLOOKUP(I77,'Трансп. каталог'!$F$3:$I$743,2,0)</f>
        <v>не позднее 26.09.2025</v>
      </c>
      <c r="G77" s="67">
        <f>VLOOKUP(I77,'Трансп. каталог'!$F$3:$I$743,3,0)</f>
        <v>0</v>
      </c>
      <c r="H77" s="24" t="s">
        <v>453</v>
      </c>
      <c r="I77" s="25" t="str">
        <f t="shared" si="1"/>
        <v>060602804032025</v>
      </c>
      <c r="J77" s="43" t="s">
        <v>630</v>
      </c>
      <c r="K77" s="43" t="s">
        <v>682</v>
      </c>
      <c r="L77" s="43" t="s">
        <v>674</v>
      </c>
      <c r="M77" s="83" t="s">
        <v>682</v>
      </c>
      <c r="N77" s="88" t="s">
        <v>485</v>
      </c>
      <c r="O77" s="88" t="s">
        <v>715</v>
      </c>
      <c r="P77" s="4" t="s">
        <v>195</v>
      </c>
      <c r="Q77" s="4" t="s">
        <v>33</v>
      </c>
      <c r="R77" s="74">
        <f>VLOOKUP(I77,'Трансп. каталог'!$F$3:$I$743,4,0)</f>
        <v>0</v>
      </c>
    </row>
    <row r="78" spans="1:18" hidden="1" x14ac:dyDescent="0.2">
      <c r="A78" s="24" t="s">
        <v>193</v>
      </c>
      <c r="B78" s="5" t="s">
        <v>2</v>
      </c>
      <c r="C78" s="5" t="s">
        <v>3</v>
      </c>
      <c r="D78" s="4" t="s">
        <v>194</v>
      </c>
      <c r="E78" s="4" t="s">
        <v>456</v>
      </c>
      <c r="F78" s="4" t="str">
        <f>VLOOKUP(I78,'Трансп. каталог'!$F$3:$I$743,2,0)</f>
        <v>не позднее  26.12.2025</v>
      </c>
      <c r="G78" s="67">
        <f>VLOOKUP(I78,'Трансп. каталог'!$F$3:$I$743,3,0)</f>
        <v>0</v>
      </c>
      <c r="H78" s="24" t="s">
        <v>457</v>
      </c>
      <c r="I78" s="25" t="str">
        <f t="shared" si="1"/>
        <v>060602804042025</v>
      </c>
      <c r="J78" s="43" t="s">
        <v>1375</v>
      </c>
      <c r="K78" s="43" t="s">
        <v>683</v>
      </c>
      <c r="L78" s="43" t="s">
        <v>684</v>
      </c>
      <c r="M78" s="83" t="s">
        <v>683</v>
      </c>
      <c r="N78" s="88" t="s">
        <v>1399</v>
      </c>
      <c r="O78" s="88" t="s">
        <v>481</v>
      </c>
      <c r="P78" s="4" t="s">
        <v>195</v>
      </c>
      <c r="Q78" s="4" t="s">
        <v>33</v>
      </c>
      <c r="R78" s="74">
        <f>VLOOKUP(I78,'Трансп. каталог'!$F$3:$I$743,4,0)</f>
        <v>0</v>
      </c>
    </row>
    <row r="79" spans="1:18" hidden="1" x14ac:dyDescent="0.2">
      <c r="A79" s="24" t="s">
        <v>11</v>
      </c>
      <c r="B79" s="5" t="s">
        <v>12</v>
      </c>
      <c r="C79" s="5" t="s">
        <v>3</v>
      </c>
      <c r="D79" s="4" t="s">
        <v>13</v>
      </c>
      <c r="E79" s="4">
        <v>2025</v>
      </c>
      <c r="F79" s="4" t="str">
        <f>VLOOKUP(I79,'Трансп. каталог'!$F$3:$I$743,2,0)</f>
        <v>не позднее 21.04.2025</v>
      </c>
      <c r="G79" s="67" t="str">
        <f>VLOOKUP(I79,'Трансп. каталог'!$F$3:$I$743,3,0)</f>
        <v>с 1-го рабочего дня по 20 мая после отчетного периода</v>
      </c>
      <c r="H79" s="24" t="s">
        <v>443</v>
      </c>
      <c r="I79" s="25" t="str">
        <f t="shared" si="1"/>
        <v>060603801012025</v>
      </c>
      <c r="J79" s="110" t="s">
        <v>1386</v>
      </c>
      <c r="K79" s="110" t="s">
        <v>444</v>
      </c>
      <c r="L79" s="110" t="s">
        <v>445</v>
      </c>
      <c r="M79" s="206" t="s">
        <v>444</v>
      </c>
      <c r="N79" s="207" t="s">
        <v>1448</v>
      </c>
      <c r="O79" s="207" t="s">
        <v>1447</v>
      </c>
      <c r="P79" s="4" t="s">
        <v>1430</v>
      </c>
      <c r="Q79" s="4" t="s">
        <v>6</v>
      </c>
      <c r="R79" s="74">
        <f>VLOOKUP(I79,'Трансп. каталог'!$F$3:$I$743,4,0)</f>
        <v>0</v>
      </c>
    </row>
    <row r="80" spans="1:18" hidden="1" x14ac:dyDescent="0.2">
      <c r="A80" s="24" t="s">
        <v>14</v>
      </c>
      <c r="B80" s="5" t="s">
        <v>1419</v>
      </c>
      <c r="C80" s="5" t="s">
        <v>3</v>
      </c>
      <c r="D80" s="4" t="s">
        <v>15</v>
      </c>
      <c r="E80" s="4" t="s">
        <v>446</v>
      </c>
      <c r="F80" s="4" t="str">
        <f>VLOOKUP(I80,'Трансп. каталог'!$F$3:$I$743,2,0)</f>
        <v>не позднее 28.03.2025</v>
      </c>
      <c r="G80" s="67">
        <f>VLOOKUP(I80,'Трансп. каталог'!$F$3:$I$743,3,0)</f>
        <v>0</v>
      </c>
      <c r="H80" s="24" t="s">
        <v>447</v>
      </c>
      <c r="I80" s="25" t="str">
        <f t="shared" si="1"/>
        <v>060604504012025</v>
      </c>
      <c r="J80" s="110" t="s">
        <v>521</v>
      </c>
      <c r="K80" s="110" t="s">
        <v>405</v>
      </c>
      <c r="L80" s="110" t="s">
        <v>448</v>
      </c>
      <c r="M80" s="99" t="s">
        <v>405</v>
      </c>
      <c r="N80" s="95" t="s">
        <v>591</v>
      </c>
      <c r="O80" s="95" t="s">
        <v>499</v>
      </c>
      <c r="P80" s="4"/>
      <c r="Q80" s="4" t="s">
        <v>16</v>
      </c>
      <c r="R80" s="74" t="s">
        <v>1403</v>
      </c>
    </row>
    <row r="81" spans="1:18" hidden="1" x14ac:dyDescent="0.2">
      <c r="A81" s="24" t="s">
        <v>14</v>
      </c>
      <c r="B81" s="5" t="s">
        <v>1419</v>
      </c>
      <c r="C81" s="5" t="s">
        <v>3</v>
      </c>
      <c r="D81" s="4" t="s">
        <v>15</v>
      </c>
      <c r="E81" s="4" t="s">
        <v>449</v>
      </c>
      <c r="F81" s="4" t="str">
        <f>VLOOKUP(I81,'Трансп. каталог'!$F$3:$I$743,2,0)</f>
        <v>не позднее 30.06.2025</v>
      </c>
      <c r="G81" s="67">
        <f>VLOOKUP(I81,'Трансп. каталог'!$F$3:$I$743,3,0)</f>
        <v>0</v>
      </c>
      <c r="H81" s="24" t="s">
        <v>450</v>
      </c>
      <c r="I81" s="25" t="str">
        <f t="shared" si="1"/>
        <v>060604504022025</v>
      </c>
      <c r="J81" s="110" t="s">
        <v>648</v>
      </c>
      <c r="K81" s="110" t="s">
        <v>417</v>
      </c>
      <c r="L81" s="110" t="s">
        <v>451</v>
      </c>
      <c r="M81" s="99" t="s">
        <v>417</v>
      </c>
      <c r="N81" s="95" t="s">
        <v>595</v>
      </c>
      <c r="O81" s="95" t="s">
        <v>501</v>
      </c>
      <c r="P81" s="4"/>
      <c r="Q81" s="4" t="s">
        <v>16</v>
      </c>
      <c r="R81" s="74" t="s">
        <v>1403</v>
      </c>
    </row>
    <row r="82" spans="1:18" hidden="1" x14ac:dyDescent="0.2">
      <c r="A82" s="24" t="s">
        <v>14</v>
      </c>
      <c r="B82" s="5" t="s">
        <v>1419</v>
      </c>
      <c r="C82" s="5" t="s">
        <v>3</v>
      </c>
      <c r="D82" s="4" t="s">
        <v>15</v>
      </c>
      <c r="E82" s="4" t="s">
        <v>452</v>
      </c>
      <c r="F82" s="4" t="str">
        <f>VLOOKUP(I82,'Трансп. каталог'!$F$3:$I$743,2,0)</f>
        <v>не позднее 29.09.2025</v>
      </c>
      <c r="G82" s="67">
        <f>VLOOKUP(I82,'Трансп. каталог'!$F$3:$I$743,3,0)</f>
        <v>0</v>
      </c>
      <c r="H82" s="24" t="s">
        <v>453</v>
      </c>
      <c r="I82" s="25" t="str">
        <f t="shared" si="1"/>
        <v>060604504032025</v>
      </c>
      <c r="J82" s="43" t="s">
        <v>1368</v>
      </c>
      <c r="K82" s="43" t="s">
        <v>454</v>
      </c>
      <c r="L82" s="43" t="s">
        <v>455</v>
      </c>
      <c r="M82" s="83" t="s">
        <v>454</v>
      </c>
      <c r="N82" s="88" t="s">
        <v>600</v>
      </c>
      <c r="O82" s="88" t="s">
        <v>504</v>
      </c>
      <c r="P82" s="4"/>
      <c r="Q82" s="4" t="s">
        <v>16</v>
      </c>
      <c r="R82" s="74" t="s">
        <v>1403</v>
      </c>
    </row>
    <row r="83" spans="1:18" hidden="1" x14ac:dyDescent="0.2">
      <c r="A83" s="24" t="s">
        <v>14</v>
      </c>
      <c r="B83" s="5" t="s">
        <v>1419</v>
      </c>
      <c r="C83" s="5" t="s">
        <v>3</v>
      </c>
      <c r="D83" s="4" t="s">
        <v>15</v>
      </c>
      <c r="E83" s="4" t="s">
        <v>456</v>
      </c>
      <c r="F83" s="4" t="str">
        <f>VLOOKUP(I83,'Трансп. каталог'!$F$3:$I$743,2,0)</f>
        <v>не позднее 29.12.2025</v>
      </c>
      <c r="G83" s="67">
        <f>VLOOKUP(I83,'Трансп. каталог'!$F$3:$I$743,3,0)</f>
        <v>0</v>
      </c>
      <c r="H83" s="24" t="s">
        <v>457</v>
      </c>
      <c r="I83" s="25" t="str">
        <f t="shared" si="1"/>
        <v>060604504042025</v>
      </c>
      <c r="J83" s="43" t="s">
        <v>442</v>
      </c>
      <c r="K83" s="43" t="s">
        <v>458</v>
      </c>
      <c r="L83" s="43" t="s">
        <v>459</v>
      </c>
      <c r="M83" s="83" t="s">
        <v>458</v>
      </c>
      <c r="N83" s="88" t="s">
        <v>481</v>
      </c>
      <c r="O83" s="88" t="s">
        <v>1379</v>
      </c>
      <c r="P83" s="4"/>
      <c r="Q83" s="4" t="s">
        <v>16</v>
      </c>
      <c r="R83" s="74" t="s">
        <v>1403</v>
      </c>
    </row>
    <row r="84" spans="1:18" hidden="1" x14ac:dyDescent="0.2">
      <c r="A84" s="27" t="s">
        <v>17</v>
      </c>
      <c r="B84" s="28" t="s">
        <v>1419</v>
      </c>
      <c r="C84" s="28" t="s">
        <v>3</v>
      </c>
      <c r="D84" s="26" t="s">
        <v>18</v>
      </c>
      <c r="E84" s="26" t="s">
        <v>446</v>
      </c>
      <c r="F84" s="26" t="str">
        <f>VLOOKUP(I84,'Трансп. каталог'!$F$3:$I$743,2,0)</f>
        <v>не позднее 28.03.2025</v>
      </c>
      <c r="G84" s="68">
        <f>VLOOKUP(I84,'Трансп. каталог'!$F$3:$I$743,3,0)</f>
        <v>0</v>
      </c>
      <c r="H84" s="27" t="s">
        <v>447</v>
      </c>
      <c r="I84" s="29" t="str">
        <f t="shared" ref="I84:I147" si="2">CONCATENATE(A84,H84)</f>
        <v>060604604012025</v>
      </c>
      <c r="J84" s="141" t="s">
        <v>521</v>
      </c>
      <c r="K84" s="141" t="s">
        <v>405</v>
      </c>
      <c r="L84" s="141" t="s">
        <v>448</v>
      </c>
      <c r="M84" s="99" t="s">
        <v>405</v>
      </c>
      <c r="N84" s="95" t="s">
        <v>591</v>
      </c>
      <c r="O84" s="95" t="s">
        <v>499</v>
      </c>
      <c r="P84" s="26"/>
      <c r="Q84" s="26" t="s">
        <v>16</v>
      </c>
      <c r="R84" s="74" t="s">
        <v>1403</v>
      </c>
    </row>
    <row r="85" spans="1:18" hidden="1" x14ac:dyDescent="0.2">
      <c r="A85" s="18" t="s">
        <v>17</v>
      </c>
      <c r="B85" s="3" t="s">
        <v>1419</v>
      </c>
      <c r="C85" s="3" t="s">
        <v>3</v>
      </c>
      <c r="D85" s="2" t="s">
        <v>18</v>
      </c>
      <c r="E85" s="2" t="s">
        <v>449</v>
      </c>
      <c r="F85" s="2" t="str">
        <f>VLOOKUP(I85,'Трансп. каталог'!$F$3:$I$743,2,0)</f>
        <v>не позднее 30.06.2025</v>
      </c>
      <c r="G85" s="65">
        <f>VLOOKUP(I85,'Трансп. каталог'!$F$3:$I$743,3,0)</f>
        <v>0</v>
      </c>
      <c r="H85" s="18" t="s">
        <v>450</v>
      </c>
      <c r="I85" s="19" t="str">
        <f t="shared" si="2"/>
        <v>060604604022025</v>
      </c>
      <c r="J85" s="93" t="s">
        <v>648</v>
      </c>
      <c r="K85" s="93" t="s">
        <v>417</v>
      </c>
      <c r="L85" s="93" t="s">
        <v>451</v>
      </c>
      <c r="M85" s="99" t="s">
        <v>417</v>
      </c>
      <c r="N85" s="95" t="s">
        <v>595</v>
      </c>
      <c r="O85" s="95" t="s">
        <v>501</v>
      </c>
      <c r="P85" s="2"/>
      <c r="Q85" s="2" t="s">
        <v>16</v>
      </c>
      <c r="R85" s="74" t="s">
        <v>1403</v>
      </c>
    </row>
    <row r="86" spans="1:18" hidden="1" x14ac:dyDescent="0.2">
      <c r="A86" s="21" t="s">
        <v>17</v>
      </c>
      <c r="B86" s="22" t="s">
        <v>1419</v>
      </c>
      <c r="C86" s="22" t="s">
        <v>3</v>
      </c>
      <c r="D86" s="20" t="s">
        <v>18</v>
      </c>
      <c r="E86" s="20" t="s">
        <v>452</v>
      </c>
      <c r="F86" s="20" t="str">
        <f>VLOOKUP(I86,'Трансп. каталог'!$F$3:$I$743,2,0)</f>
        <v>не позднее 29.09.2025</v>
      </c>
      <c r="G86" s="66">
        <f>VLOOKUP(I86,'Трансп. каталог'!$F$3:$I$743,3,0)</f>
        <v>0</v>
      </c>
      <c r="H86" s="21" t="s">
        <v>453</v>
      </c>
      <c r="I86" s="23" t="str">
        <f t="shared" si="2"/>
        <v>060604604032025</v>
      </c>
      <c r="J86" s="42" t="s">
        <v>1368</v>
      </c>
      <c r="K86" s="42" t="s">
        <v>454</v>
      </c>
      <c r="L86" s="42" t="s">
        <v>455</v>
      </c>
      <c r="M86" s="84" t="s">
        <v>454</v>
      </c>
      <c r="N86" s="89" t="s">
        <v>600</v>
      </c>
      <c r="O86" s="89" t="s">
        <v>504</v>
      </c>
      <c r="P86" s="20"/>
      <c r="Q86" s="20" t="s">
        <v>16</v>
      </c>
      <c r="R86" s="74" t="s">
        <v>1403</v>
      </c>
    </row>
    <row r="87" spans="1:18" hidden="1" x14ac:dyDescent="0.2">
      <c r="A87" s="24" t="s">
        <v>17</v>
      </c>
      <c r="B87" s="5" t="s">
        <v>1419</v>
      </c>
      <c r="C87" s="5" t="s">
        <v>3</v>
      </c>
      <c r="D87" s="4" t="s">
        <v>18</v>
      </c>
      <c r="E87" s="4" t="s">
        <v>456</v>
      </c>
      <c r="F87" s="4" t="str">
        <f>VLOOKUP(I87,'Трансп. каталог'!$F$3:$I$743,2,0)</f>
        <v>не позднее 29.12.2025</v>
      </c>
      <c r="G87" s="67">
        <f>VLOOKUP(I87,'Трансп. каталог'!$F$3:$I$743,3,0)</f>
        <v>0</v>
      </c>
      <c r="H87" s="24" t="s">
        <v>457</v>
      </c>
      <c r="I87" s="25" t="str">
        <f t="shared" si="2"/>
        <v>060604604042025</v>
      </c>
      <c r="J87" s="43" t="s">
        <v>442</v>
      </c>
      <c r="K87" s="43" t="s">
        <v>458</v>
      </c>
      <c r="L87" s="43" t="s">
        <v>459</v>
      </c>
      <c r="M87" s="85" t="s">
        <v>458</v>
      </c>
      <c r="N87" s="90" t="s">
        <v>481</v>
      </c>
      <c r="O87" s="90" t="s">
        <v>1379</v>
      </c>
      <c r="P87" s="4"/>
      <c r="Q87" s="4" t="s">
        <v>16</v>
      </c>
      <c r="R87" s="74" t="s">
        <v>1403</v>
      </c>
    </row>
    <row r="88" spans="1:18" hidden="1" x14ac:dyDescent="0.2">
      <c r="A88" s="24" t="s">
        <v>19</v>
      </c>
      <c r="B88" s="5" t="s">
        <v>1419</v>
      </c>
      <c r="C88" s="5" t="s">
        <v>3</v>
      </c>
      <c r="D88" s="4" t="s">
        <v>20</v>
      </c>
      <c r="E88" s="4" t="s">
        <v>446</v>
      </c>
      <c r="F88" s="4" t="str">
        <f>VLOOKUP(I88,'Трансп. каталог'!$F$3:$I$743,2,0)</f>
        <v>не позднее 28.03.2025</v>
      </c>
      <c r="G88" s="67">
        <f>VLOOKUP(I88,'Трансп. каталог'!$F$3:$I$743,3,0)</f>
        <v>0</v>
      </c>
      <c r="H88" s="24" t="s">
        <v>447</v>
      </c>
      <c r="I88" s="25" t="str">
        <f t="shared" si="2"/>
        <v>060604704012025</v>
      </c>
      <c r="J88" s="110" t="s">
        <v>521</v>
      </c>
      <c r="K88" s="110" t="s">
        <v>405</v>
      </c>
      <c r="L88" s="110" t="s">
        <v>448</v>
      </c>
      <c r="M88" s="104" t="s">
        <v>405</v>
      </c>
      <c r="N88" s="105" t="s">
        <v>591</v>
      </c>
      <c r="O88" s="105" t="s">
        <v>499</v>
      </c>
      <c r="P88" s="4"/>
      <c r="Q88" s="4" t="s">
        <v>16</v>
      </c>
      <c r="R88" s="74" t="s">
        <v>1403</v>
      </c>
    </row>
    <row r="89" spans="1:18" hidden="1" x14ac:dyDescent="0.2">
      <c r="A89" s="24" t="s">
        <v>19</v>
      </c>
      <c r="B89" s="5" t="s">
        <v>1419</v>
      </c>
      <c r="C89" s="5" t="s">
        <v>3</v>
      </c>
      <c r="D89" s="4" t="s">
        <v>20</v>
      </c>
      <c r="E89" s="4" t="s">
        <v>449</v>
      </c>
      <c r="F89" s="4" t="str">
        <f>VLOOKUP(I89,'Трансп. каталог'!$F$3:$I$743,2,0)</f>
        <v>не позднее 30.06.2025</v>
      </c>
      <c r="G89" s="67">
        <f>VLOOKUP(I89,'Трансп. каталог'!$F$3:$I$743,3,0)</f>
        <v>0</v>
      </c>
      <c r="H89" s="24" t="s">
        <v>450</v>
      </c>
      <c r="I89" s="25" t="str">
        <f t="shared" si="2"/>
        <v>060604704022025</v>
      </c>
      <c r="J89" s="110" t="s">
        <v>648</v>
      </c>
      <c r="K89" s="110" t="s">
        <v>417</v>
      </c>
      <c r="L89" s="110" t="s">
        <v>451</v>
      </c>
      <c r="M89" s="104" t="s">
        <v>417</v>
      </c>
      <c r="N89" s="105" t="s">
        <v>595</v>
      </c>
      <c r="O89" s="105" t="s">
        <v>501</v>
      </c>
      <c r="P89" s="4"/>
      <c r="Q89" s="4" t="s">
        <v>16</v>
      </c>
      <c r="R89" s="74" t="s">
        <v>1403</v>
      </c>
    </row>
    <row r="90" spans="1:18" hidden="1" x14ac:dyDescent="0.2">
      <c r="A90" s="24" t="s">
        <v>19</v>
      </c>
      <c r="B90" s="5" t="s">
        <v>1419</v>
      </c>
      <c r="C90" s="5" t="s">
        <v>3</v>
      </c>
      <c r="D90" s="4" t="s">
        <v>20</v>
      </c>
      <c r="E90" s="4" t="s">
        <v>452</v>
      </c>
      <c r="F90" s="4" t="str">
        <f>VLOOKUP(I90,'Трансп. каталог'!$F$3:$I$743,2,0)</f>
        <v>не позднее 29.09.2025</v>
      </c>
      <c r="G90" s="67">
        <f>VLOOKUP(I90,'Трансп. каталог'!$F$3:$I$743,3,0)</f>
        <v>0</v>
      </c>
      <c r="H90" s="24" t="s">
        <v>453</v>
      </c>
      <c r="I90" s="25" t="str">
        <f t="shared" si="2"/>
        <v>060604704032025</v>
      </c>
      <c r="J90" s="43" t="s">
        <v>1368</v>
      </c>
      <c r="K90" s="43" t="s">
        <v>454</v>
      </c>
      <c r="L90" s="43" t="s">
        <v>455</v>
      </c>
      <c r="M90" s="85" t="s">
        <v>454</v>
      </c>
      <c r="N90" s="90" t="s">
        <v>600</v>
      </c>
      <c r="O90" s="90" t="s">
        <v>504</v>
      </c>
      <c r="P90" s="4"/>
      <c r="Q90" s="4" t="s">
        <v>16</v>
      </c>
      <c r="R90" s="74" t="s">
        <v>1403</v>
      </c>
    </row>
    <row r="91" spans="1:18" hidden="1" x14ac:dyDescent="0.2">
      <c r="A91" s="24" t="s">
        <v>19</v>
      </c>
      <c r="B91" s="5" t="s">
        <v>1419</v>
      </c>
      <c r="C91" s="5" t="s">
        <v>3</v>
      </c>
      <c r="D91" s="4" t="s">
        <v>20</v>
      </c>
      <c r="E91" s="4" t="s">
        <v>456</v>
      </c>
      <c r="F91" s="4" t="str">
        <f>VLOOKUP(I91,'Трансп. каталог'!$F$3:$I$743,2,0)</f>
        <v>не позднее 29.12.2025</v>
      </c>
      <c r="G91" s="67">
        <f>VLOOKUP(I91,'Трансп. каталог'!$F$3:$I$743,3,0)</f>
        <v>0</v>
      </c>
      <c r="H91" s="24" t="s">
        <v>457</v>
      </c>
      <c r="I91" s="25" t="str">
        <f t="shared" si="2"/>
        <v>060604704042025</v>
      </c>
      <c r="J91" s="43" t="s">
        <v>442</v>
      </c>
      <c r="K91" s="43" t="s">
        <v>458</v>
      </c>
      <c r="L91" s="43" t="s">
        <v>459</v>
      </c>
      <c r="M91" s="85" t="s">
        <v>458</v>
      </c>
      <c r="N91" s="90" t="s">
        <v>481</v>
      </c>
      <c r="O91" s="90" t="s">
        <v>1379</v>
      </c>
      <c r="P91" s="4"/>
      <c r="Q91" s="4" t="s">
        <v>16</v>
      </c>
      <c r="R91" s="74" t="s">
        <v>1403</v>
      </c>
    </row>
    <row r="92" spans="1:18" hidden="1" x14ac:dyDescent="0.2">
      <c r="A92" s="24" t="s">
        <v>21</v>
      </c>
      <c r="B92" s="5" t="s">
        <v>1419</v>
      </c>
      <c r="C92" s="5" t="s">
        <v>3</v>
      </c>
      <c r="D92" s="4" t="s">
        <v>22</v>
      </c>
      <c r="E92" s="4" t="s">
        <v>446</v>
      </c>
      <c r="F92" s="4" t="str">
        <f>VLOOKUP(I92,'Трансп. каталог'!$F$3:$I$743,2,0)</f>
        <v>не позднее 28.03.2025</v>
      </c>
      <c r="G92" s="67">
        <f>VLOOKUP(I92,'Трансп. каталог'!$F$3:$I$743,3,0)</f>
        <v>0</v>
      </c>
      <c r="H92" s="24" t="s">
        <v>447</v>
      </c>
      <c r="I92" s="25" t="str">
        <f t="shared" si="2"/>
        <v>060604804012025</v>
      </c>
      <c r="J92" s="110" t="s">
        <v>521</v>
      </c>
      <c r="K92" s="110" t="s">
        <v>405</v>
      </c>
      <c r="L92" s="110" t="s">
        <v>448</v>
      </c>
      <c r="M92" s="104" t="s">
        <v>405</v>
      </c>
      <c r="N92" s="105" t="s">
        <v>591</v>
      </c>
      <c r="O92" s="105" t="s">
        <v>499</v>
      </c>
      <c r="P92" s="4"/>
      <c r="Q92" s="4" t="s">
        <v>16</v>
      </c>
      <c r="R92" s="74" t="s">
        <v>1403</v>
      </c>
    </row>
    <row r="93" spans="1:18" hidden="1" x14ac:dyDescent="0.2">
      <c r="A93" s="24" t="s">
        <v>21</v>
      </c>
      <c r="B93" s="5" t="s">
        <v>1419</v>
      </c>
      <c r="C93" s="5" t="s">
        <v>3</v>
      </c>
      <c r="D93" s="4" t="s">
        <v>22</v>
      </c>
      <c r="E93" s="4" t="s">
        <v>449</v>
      </c>
      <c r="F93" s="4" t="str">
        <f>VLOOKUP(I93,'Трансп. каталог'!$F$3:$I$743,2,0)</f>
        <v>не позднее 30.06.2025</v>
      </c>
      <c r="G93" s="67">
        <f>VLOOKUP(I93,'Трансп. каталог'!$F$3:$I$743,3,0)</f>
        <v>0</v>
      </c>
      <c r="H93" s="24" t="s">
        <v>450</v>
      </c>
      <c r="I93" s="25" t="str">
        <f t="shared" si="2"/>
        <v>060604804022025</v>
      </c>
      <c r="J93" s="110" t="s">
        <v>648</v>
      </c>
      <c r="K93" s="110" t="s">
        <v>417</v>
      </c>
      <c r="L93" s="110" t="s">
        <v>451</v>
      </c>
      <c r="M93" s="104" t="s">
        <v>417</v>
      </c>
      <c r="N93" s="105" t="s">
        <v>595</v>
      </c>
      <c r="O93" s="105" t="s">
        <v>501</v>
      </c>
      <c r="P93" s="4"/>
      <c r="Q93" s="4" t="s">
        <v>16</v>
      </c>
      <c r="R93" s="74" t="s">
        <v>1403</v>
      </c>
    </row>
    <row r="94" spans="1:18" hidden="1" x14ac:dyDescent="0.2">
      <c r="A94" s="24" t="s">
        <v>21</v>
      </c>
      <c r="B94" s="5" t="s">
        <v>1419</v>
      </c>
      <c r="C94" s="5" t="s">
        <v>3</v>
      </c>
      <c r="D94" s="4" t="s">
        <v>22</v>
      </c>
      <c r="E94" s="4" t="s">
        <v>452</v>
      </c>
      <c r="F94" s="4" t="str">
        <f>VLOOKUP(I94,'Трансп. каталог'!$F$3:$I$743,2,0)</f>
        <v>не позднее 29.09.2025</v>
      </c>
      <c r="G94" s="67">
        <f>VLOOKUP(I94,'Трансп. каталог'!$F$3:$I$743,3,0)</f>
        <v>0</v>
      </c>
      <c r="H94" s="24" t="s">
        <v>453</v>
      </c>
      <c r="I94" s="25" t="str">
        <f t="shared" si="2"/>
        <v>060604804032025</v>
      </c>
      <c r="J94" s="43" t="s">
        <v>1368</v>
      </c>
      <c r="K94" s="43" t="s">
        <v>454</v>
      </c>
      <c r="L94" s="43" t="s">
        <v>455</v>
      </c>
      <c r="M94" s="85" t="s">
        <v>454</v>
      </c>
      <c r="N94" s="90" t="s">
        <v>600</v>
      </c>
      <c r="O94" s="90" t="s">
        <v>504</v>
      </c>
      <c r="P94" s="4"/>
      <c r="Q94" s="4" t="s">
        <v>16</v>
      </c>
      <c r="R94" s="74" t="s">
        <v>1403</v>
      </c>
    </row>
    <row r="95" spans="1:18" hidden="1" x14ac:dyDescent="0.2">
      <c r="A95" s="24" t="s">
        <v>21</v>
      </c>
      <c r="B95" s="5" t="s">
        <v>1419</v>
      </c>
      <c r="C95" s="5" t="s">
        <v>3</v>
      </c>
      <c r="D95" s="4" t="s">
        <v>22</v>
      </c>
      <c r="E95" s="4" t="s">
        <v>456</v>
      </c>
      <c r="F95" s="4" t="str">
        <f>VLOOKUP(I95,'Трансп. каталог'!$F$3:$I$743,2,0)</f>
        <v>не позднее 29.12.2025</v>
      </c>
      <c r="G95" s="67">
        <f>VLOOKUP(I95,'Трансп. каталог'!$F$3:$I$743,3,0)</f>
        <v>0</v>
      </c>
      <c r="H95" s="24" t="s">
        <v>457</v>
      </c>
      <c r="I95" s="25" t="str">
        <f t="shared" si="2"/>
        <v>060604804042025</v>
      </c>
      <c r="J95" s="43" t="s">
        <v>442</v>
      </c>
      <c r="K95" s="43" t="s">
        <v>458</v>
      </c>
      <c r="L95" s="43" t="s">
        <v>459</v>
      </c>
      <c r="M95" s="85" t="s">
        <v>458</v>
      </c>
      <c r="N95" s="90" t="s">
        <v>481</v>
      </c>
      <c r="O95" s="90" t="s">
        <v>1379</v>
      </c>
      <c r="P95" s="4"/>
      <c r="Q95" s="4" t="s">
        <v>16</v>
      </c>
      <c r="R95" s="74" t="s">
        <v>1403</v>
      </c>
    </row>
    <row r="96" spans="1:18" hidden="1" x14ac:dyDescent="0.2">
      <c r="A96" s="27" t="s">
        <v>23</v>
      </c>
      <c r="B96" s="28" t="s">
        <v>1419</v>
      </c>
      <c r="C96" s="28" t="s">
        <v>3</v>
      </c>
      <c r="D96" s="26" t="s">
        <v>24</v>
      </c>
      <c r="E96" s="26" t="s">
        <v>446</v>
      </c>
      <c r="F96" s="26" t="str">
        <f>VLOOKUP(I96,'Трансп. каталог'!$F$3:$I$743,2,0)</f>
        <v>не позднее 28.03.2025</v>
      </c>
      <c r="G96" s="68">
        <f>VLOOKUP(I96,'Трансп. каталог'!$F$3:$I$743,3,0)</f>
        <v>0</v>
      </c>
      <c r="H96" s="27" t="s">
        <v>447</v>
      </c>
      <c r="I96" s="29" t="str">
        <f t="shared" si="2"/>
        <v>060604904012025</v>
      </c>
      <c r="J96" s="141" t="s">
        <v>521</v>
      </c>
      <c r="K96" s="141" t="s">
        <v>405</v>
      </c>
      <c r="L96" s="141" t="s">
        <v>448</v>
      </c>
      <c r="M96" s="106" t="s">
        <v>405</v>
      </c>
      <c r="N96" s="107" t="s">
        <v>591</v>
      </c>
      <c r="O96" s="107" t="s">
        <v>499</v>
      </c>
      <c r="P96" s="26"/>
      <c r="Q96" s="26" t="s">
        <v>16</v>
      </c>
      <c r="R96" s="74" t="s">
        <v>1403</v>
      </c>
    </row>
    <row r="97" spans="1:18" hidden="1" x14ac:dyDescent="0.2">
      <c r="A97" s="15" t="s">
        <v>23</v>
      </c>
      <c r="B97" s="16" t="s">
        <v>1419</v>
      </c>
      <c r="C97" s="16" t="s">
        <v>3</v>
      </c>
      <c r="D97" s="14" t="s">
        <v>24</v>
      </c>
      <c r="E97" s="14" t="s">
        <v>449</v>
      </c>
      <c r="F97" s="14" t="str">
        <f>VLOOKUP(I97,'Трансп. каталог'!$F$3:$I$743,2,0)</f>
        <v>не позднее 30.06.2025</v>
      </c>
      <c r="G97" s="64">
        <f>VLOOKUP(I97,'Трансп. каталог'!$F$3:$I$743,3,0)</f>
        <v>0</v>
      </c>
      <c r="H97" s="15" t="s">
        <v>450</v>
      </c>
      <c r="I97" s="17" t="str">
        <f t="shared" si="2"/>
        <v>060604904022025</v>
      </c>
      <c r="J97" s="92" t="s">
        <v>648</v>
      </c>
      <c r="K97" s="92" t="s">
        <v>417</v>
      </c>
      <c r="L97" s="92" t="s">
        <v>451</v>
      </c>
      <c r="M97" s="106" t="s">
        <v>417</v>
      </c>
      <c r="N97" s="107" t="s">
        <v>595</v>
      </c>
      <c r="O97" s="107" t="s">
        <v>501</v>
      </c>
      <c r="P97" s="14"/>
      <c r="Q97" s="14" t="s">
        <v>16</v>
      </c>
      <c r="R97" s="73" t="s">
        <v>1403</v>
      </c>
    </row>
    <row r="98" spans="1:18" hidden="1" x14ac:dyDescent="0.2">
      <c r="A98" s="18" t="s">
        <v>23</v>
      </c>
      <c r="B98" s="3" t="s">
        <v>1419</v>
      </c>
      <c r="C98" s="3" t="s">
        <v>3</v>
      </c>
      <c r="D98" s="2" t="s">
        <v>24</v>
      </c>
      <c r="E98" s="2" t="s">
        <v>452</v>
      </c>
      <c r="F98" s="2" t="str">
        <f>VLOOKUP(I98,'Трансп. каталог'!$F$3:$I$743,2,0)</f>
        <v>не позднее 29.09.2025</v>
      </c>
      <c r="G98" s="65">
        <f>VLOOKUP(I98,'Трансп. каталог'!$F$3:$I$743,3,0)</f>
        <v>0</v>
      </c>
      <c r="H98" s="18" t="s">
        <v>453</v>
      </c>
      <c r="I98" s="19" t="str">
        <f t="shared" si="2"/>
        <v>060604904032025</v>
      </c>
      <c r="J98" s="41" t="s">
        <v>1368</v>
      </c>
      <c r="K98" s="41" t="s">
        <v>454</v>
      </c>
      <c r="L98" s="41" t="s">
        <v>455</v>
      </c>
      <c r="M98" s="83" t="s">
        <v>454</v>
      </c>
      <c r="N98" s="88" t="s">
        <v>600</v>
      </c>
      <c r="O98" s="88" t="s">
        <v>504</v>
      </c>
      <c r="P98" s="2"/>
      <c r="Q98" s="2" t="s">
        <v>16</v>
      </c>
      <c r="R98" s="74" t="s">
        <v>1403</v>
      </c>
    </row>
    <row r="99" spans="1:18" hidden="1" x14ac:dyDescent="0.2">
      <c r="A99" s="21" t="s">
        <v>23</v>
      </c>
      <c r="B99" s="22" t="s">
        <v>1419</v>
      </c>
      <c r="C99" s="22" t="s">
        <v>3</v>
      </c>
      <c r="D99" s="2" t="s">
        <v>24</v>
      </c>
      <c r="E99" s="20" t="s">
        <v>456</v>
      </c>
      <c r="F99" s="20" t="str">
        <f>VLOOKUP(I99,'Трансп. каталог'!$F$3:$I$743,2,0)</f>
        <v>не позднее 29.12.2025</v>
      </c>
      <c r="G99" s="66">
        <f>VLOOKUP(I99,'Трансп. каталог'!$F$3:$I$743,3,0)</f>
        <v>0</v>
      </c>
      <c r="H99" s="21" t="s">
        <v>457</v>
      </c>
      <c r="I99" s="23" t="str">
        <f t="shared" si="2"/>
        <v>060604904042025</v>
      </c>
      <c r="J99" s="42" t="s">
        <v>442</v>
      </c>
      <c r="K99" s="42" t="s">
        <v>458</v>
      </c>
      <c r="L99" s="42" t="s">
        <v>459</v>
      </c>
      <c r="M99" s="84" t="s">
        <v>458</v>
      </c>
      <c r="N99" s="89" t="s">
        <v>481</v>
      </c>
      <c r="O99" s="89" t="s">
        <v>1379</v>
      </c>
      <c r="P99" s="20"/>
      <c r="Q99" s="20" t="s">
        <v>16</v>
      </c>
      <c r="R99" s="74" t="s">
        <v>1403</v>
      </c>
    </row>
    <row r="100" spans="1:18" hidden="1" x14ac:dyDescent="0.2">
      <c r="A100" s="24" t="s">
        <v>25</v>
      </c>
      <c r="B100" s="5" t="s">
        <v>2</v>
      </c>
      <c r="C100" s="5" t="s">
        <v>3</v>
      </c>
      <c r="D100" s="2" t="s">
        <v>26</v>
      </c>
      <c r="E100" s="4">
        <v>2024</v>
      </c>
      <c r="F100" s="4" t="e">
        <f>VLOOKUP(I100,'Трансп. каталог'!$F$3:$I$743,2,0)</f>
        <v>#N/A</v>
      </c>
      <c r="G100" s="67" t="e">
        <f>VLOOKUP(I100,'Трансп. каталог'!$F$3:$I$743,3,0)</f>
        <v>#N/A</v>
      </c>
      <c r="H100" s="24" t="s">
        <v>392</v>
      </c>
      <c r="I100" s="25" t="str">
        <f t="shared" si="2"/>
        <v>060606501012024</v>
      </c>
      <c r="J100" s="110" t="s">
        <v>621</v>
      </c>
      <c r="K100" s="110" t="s">
        <v>460</v>
      </c>
      <c r="L100" s="110" t="s">
        <v>461</v>
      </c>
      <c r="M100" s="104" t="s">
        <v>460</v>
      </c>
      <c r="N100" s="105" t="s">
        <v>471</v>
      </c>
      <c r="O100" s="105" t="s">
        <v>401</v>
      </c>
      <c r="P100" s="4" t="s">
        <v>5</v>
      </c>
      <c r="Q100" s="4"/>
      <c r="R100" s="74"/>
    </row>
    <row r="101" spans="1:18" hidden="1" x14ac:dyDescent="0.2">
      <c r="A101" s="24" t="s">
        <v>27</v>
      </c>
      <c r="B101" s="5" t="s">
        <v>2</v>
      </c>
      <c r="C101" s="5" t="s">
        <v>3</v>
      </c>
      <c r="D101" s="2" t="s">
        <v>28</v>
      </c>
      <c r="E101" s="4">
        <v>2024</v>
      </c>
      <c r="F101" s="4" t="e">
        <f>VLOOKUP(I101,'Трансп. каталог'!$F$3:$I$743,2,0)</f>
        <v>#N/A</v>
      </c>
      <c r="G101" s="67" t="e">
        <f>VLOOKUP(I101,'Трансп. каталог'!$F$3:$I$743,3,0)</f>
        <v>#N/A</v>
      </c>
      <c r="H101" s="24" t="s">
        <v>392</v>
      </c>
      <c r="I101" s="25" t="str">
        <f t="shared" si="2"/>
        <v>060606601012024</v>
      </c>
      <c r="J101" s="110" t="s">
        <v>621</v>
      </c>
      <c r="K101" s="110" t="s">
        <v>460</v>
      </c>
      <c r="L101" s="110" t="s">
        <v>461</v>
      </c>
      <c r="M101" s="104" t="s">
        <v>460</v>
      </c>
      <c r="N101" s="105" t="s">
        <v>471</v>
      </c>
      <c r="O101" s="105" t="s">
        <v>401</v>
      </c>
      <c r="P101" s="4" t="s">
        <v>5</v>
      </c>
      <c r="Q101" s="4"/>
      <c r="R101" s="74"/>
    </row>
    <row r="102" spans="1:18" hidden="1" x14ac:dyDescent="0.2">
      <c r="A102" s="24" t="s">
        <v>243</v>
      </c>
      <c r="B102" s="5" t="s">
        <v>2</v>
      </c>
      <c r="C102" s="5" t="s">
        <v>30</v>
      </c>
      <c r="D102" s="2" t="s">
        <v>244</v>
      </c>
      <c r="E102" s="4" t="s">
        <v>446</v>
      </c>
      <c r="F102" s="4" t="str">
        <f>VLOOKUP(I102,'Трансп. каталог'!$F$3:$I$743,2,0)</f>
        <v xml:space="preserve">
не позднее 07.02.2025
</v>
      </c>
      <c r="G102" s="67">
        <f>VLOOKUP(I102,'Трансп. каталог'!$F$3:$I$743,3,0)</f>
        <v>0</v>
      </c>
      <c r="H102" s="24" t="s">
        <v>447</v>
      </c>
      <c r="I102" s="25" t="str">
        <f t="shared" si="2"/>
        <v>060700204012025</v>
      </c>
      <c r="J102" s="110" t="s">
        <v>659</v>
      </c>
      <c r="K102" s="110" t="s">
        <v>670</v>
      </c>
      <c r="L102" s="110" t="s">
        <v>525</v>
      </c>
      <c r="M102" s="104" t="s">
        <v>670</v>
      </c>
      <c r="N102" s="105" t="s">
        <v>465</v>
      </c>
      <c r="O102" s="105" t="s">
        <v>622</v>
      </c>
      <c r="P102" s="4" t="s">
        <v>245</v>
      </c>
      <c r="Q102" s="4" t="s">
        <v>10</v>
      </c>
      <c r="R102" s="74">
        <f>VLOOKUP(I102,'Трансп. каталог'!$F$3:$I$743,4,0)</f>
        <v>0</v>
      </c>
    </row>
    <row r="103" spans="1:18" hidden="1" x14ac:dyDescent="0.2">
      <c r="A103" s="24" t="s">
        <v>243</v>
      </c>
      <c r="B103" s="5" t="s">
        <v>2</v>
      </c>
      <c r="C103" s="5" t="s">
        <v>30</v>
      </c>
      <c r="D103" s="2" t="s">
        <v>244</v>
      </c>
      <c r="E103" s="4" t="s">
        <v>449</v>
      </c>
      <c r="F103" s="4" t="str">
        <f>VLOOKUP(I103,'Трансп. каталог'!$F$3:$I$743,2,0)</f>
        <v>не позднее 07.05.2025</v>
      </c>
      <c r="G103" s="67">
        <f>VLOOKUP(I103,'Трансп. каталог'!$F$3:$I$743,3,0)</f>
        <v>0</v>
      </c>
      <c r="H103" s="24" t="s">
        <v>450</v>
      </c>
      <c r="I103" s="25" t="str">
        <f t="shared" si="2"/>
        <v>060700204022025</v>
      </c>
      <c r="J103" s="110" t="s">
        <v>445</v>
      </c>
      <c r="K103" s="110" t="s">
        <v>624</v>
      </c>
      <c r="L103" s="110" t="s">
        <v>594</v>
      </c>
      <c r="M103" s="104" t="s">
        <v>624</v>
      </c>
      <c r="N103" s="105" t="s">
        <v>1377</v>
      </c>
      <c r="O103" s="105" t="s">
        <v>593</v>
      </c>
      <c r="P103" s="4" t="s">
        <v>245</v>
      </c>
      <c r="Q103" s="4" t="s">
        <v>10</v>
      </c>
      <c r="R103" s="74">
        <f>VLOOKUP(I103,'Трансп. каталог'!$F$3:$I$743,4,0)</f>
        <v>0</v>
      </c>
    </row>
    <row r="104" spans="1:18" hidden="1" x14ac:dyDescent="0.2">
      <c r="A104" s="24" t="s">
        <v>243</v>
      </c>
      <c r="B104" s="5" t="s">
        <v>2</v>
      </c>
      <c r="C104" s="5" t="s">
        <v>30</v>
      </c>
      <c r="D104" s="2" t="s">
        <v>244</v>
      </c>
      <c r="E104" s="4" t="s">
        <v>452</v>
      </c>
      <c r="F104" s="4" t="str">
        <f>VLOOKUP(I104,'Трансп. каталог'!$F$3:$I$743,2,0)</f>
        <v xml:space="preserve">
не позднее 08.08.2025</v>
      </c>
      <c r="G104" s="67">
        <f>VLOOKUP(I104,'Трансп. каталог'!$F$3:$I$743,3,0)</f>
        <v>0</v>
      </c>
      <c r="H104" s="24" t="s">
        <v>453</v>
      </c>
      <c r="I104" s="25" t="str">
        <f t="shared" si="2"/>
        <v>060700204032025</v>
      </c>
      <c r="J104" s="43" t="s">
        <v>649</v>
      </c>
      <c r="K104" s="43" t="s">
        <v>607</v>
      </c>
      <c r="L104" s="43" t="s">
        <v>582</v>
      </c>
      <c r="M104" s="85" t="s">
        <v>607</v>
      </c>
      <c r="N104" s="90" t="s">
        <v>714</v>
      </c>
      <c r="O104" s="90" t="s">
        <v>598</v>
      </c>
      <c r="P104" s="4" t="s">
        <v>245</v>
      </c>
      <c r="Q104" s="4" t="s">
        <v>10</v>
      </c>
      <c r="R104" s="74">
        <f>VLOOKUP(I104,'Трансп. каталог'!$F$3:$I$743,4,0)</f>
        <v>0</v>
      </c>
    </row>
    <row r="105" spans="1:18" hidden="1" x14ac:dyDescent="0.2">
      <c r="A105" s="24" t="s">
        <v>243</v>
      </c>
      <c r="B105" s="5" t="s">
        <v>2</v>
      </c>
      <c r="C105" s="5" t="s">
        <v>30</v>
      </c>
      <c r="D105" s="2" t="s">
        <v>244</v>
      </c>
      <c r="E105" s="4" t="s">
        <v>456</v>
      </c>
      <c r="F105" s="4" t="str">
        <f>VLOOKUP(I105,'Трансп. каталог'!$F$3:$I$743,2,0)</f>
        <v xml:space="preserve">
не позднее 07.11.2025</v>
      </c>
      <c r="G105" s="67">
        <f>VLOOKUP(I105,'Трансп. каталог'!$F$3:$I$743,3,0)</f>
        <v>0</v>
      </c>
      <c r="H105" s="24" t="s">
        <v>457</v>
      </c>
      <c r="I105" s="25" t="str">
        <f t="shared" si="2"/>
        <v>060700204042025</v>
      </c>
      <c r="J105" s="43" t="s">
        <v>652</v>
      </c>
      <c r="K105" s="43" t="s">
        <v>608</v>
      </c>
      <c r="L105" s="43" t="s">
        <v>584</v>
      </c>
      <c r="M105" s="85" t="s">
        <v>608</v>
      </c>
      <c r="N105" s="90" t="s">
        <v>716</v>
      </c>
      <c r="O105" s="90" t="s">
        <v>599</v>
      </c>
      <c r="P105" s="4" t="s">
        <v>245</v>
      </c>
      <c r="Q105" s="4" t="s">
        <v>10</v>
      </c>
      <c r="R105" s="74">
        <f>VLOOKUP(I105,'Трансп. каталог'!$F$3:$I$743,4,0)</f>
        <v>0</v>
      </c>
    </row>
    <row r="106" spans="1:18" hidden="1" x14ac:dyDescent="0.2">
      <c r="A106" s="24" t="s">
        <v>275</v>
      </c>
      <c r="B106" s="5" t="s">
        <v>2</v>
      </c>
      <c r="C106" s="5" t="s">
        <v>30</v>
      </c>
      <c r="D106" s="2" t="s">
        <v>1417</v>
      </c>
      <c r="E106" s="4" t="s">
        <v>446</v>
      </c>
      <c r="F106" s="4" t="str">
        <f>VLOOKUP(I106,'Трансп. каталог'!$F$3:$I$743,2,0)</f>
        <v>не позднее 28.03.2025</v>
      </c>
      <c r="G106" s="67">
        <f>VLOOKUP(I106,'Трансп. каталог'!$F$3:$I$743,3,0)</f>
        <v>0</v>
      </c>
      <c r="H106" s="24" t="s">
        <v>447</v>
      </c>
      <c r="I106" s="25" t="str">
        <f t="shared" si="2"/>
        <v>060701704012025</v>
      </c>
      <c r="J106" s="110" t="s">
        <v>461</v>
      </c>
      <c r="K106" s="110" t="s">
        <v>570</v>
      </c>
      <c r="L106" s="110" t="s">
        <v>696</v>
      </c>
      <c r="M106" s="104" t="s">
        <v>570</v>
      </c>
      <c r="N106" s="105" t="s">
        <v>499</v>
      </c>
      <c r="O106" s="105" t="s">
        <v>547</v>
      </c>
      <c r="P106" s="4" t="s">
        <v>276</v>
      </c>
      <c r="Q106" s="4" t="s">
        <v>10</v>
      </c>
      <c r="R106" s="74">
        <f>VLOOKUP(I106,'Трансп. каталог'!$F$3:$I$743,4,0)</f>
        <v>0</v>
      </c>
    </row>
    <row r="107" spans="1:18" hidden="1" x14ac:dyDescent="0.2">
      <c r="A107" s="24" t="s">
        <v>275</v>
      </c>
      <c r="B107" s="5" t="s">
        <v>2</v>
      </c>
      <c r="C107" s="5" t="s">
        <v>30</v>
      </c>
      <c r="D107" s="2" t="s">
        <v>1417</v>
      </c>
      <c r="E107" s="4" t="s">
        <v>449</v>
      </c>
      <c r="F107" s="4" t="str">
        <f>VLOOKUP(I107,'Трансп. каталог'!$F$3:$I$743,2,0)</f>
        <v xml:space="preserve">
не позднее 27.06.2025
</v>
      </c>
      <c r="G107" s="67">
        <f>VLOOKUP(I107,'Трансп. каталог'!$F$3:$I$743,3,0)</f>
        <v>0</v>
      </c>
      <c r="H107" s="24" t="s">
        <v>450</v>
      </c>
      <c r="I107" s="25" t="str">
        <f t="shared" si="2"/>
        <v>060701704022025</v>
      </c>
      <c r="J107" s="110" t="s">
        <v>615</v>
      </c>
      <c r="K107" s="110" t="s">
        <v>572</v>
      </c>
      <c r="L107" s="110" t="s">
        <v>514</v>
      </c>
      <c r="M107" s="104" t="s">
        <v>572</v>
      </c>
      <c r="N107" s="105" t="s">
        <v>501</v>
      </c>
      <c r="O107" s="105" t="s">
        <v>551</v>
      </c>
      <c r="P107" s="4" t="s">
        <v>276</v>
      </c>
      <c r="Q107" s="4" t="s">
        <v>10</v>
      </c>
      <c r="R107" s="74">
        <f>VLOOKUP(I107,'Трансп. каталог'!$F$3:$I$743,4,0)</f>
        <v>0</v>
      </c>
    </row>
    <row r="108" spans="1:18" hidden="1" x14ac:dyDescent="0.2">
      <c r="A108" s="24" t="s">
        <v>275</v>
      </c>
      <c r="B108" s="5" t="s">
        <v>2</v>
      </c>
      <c r="C108" s="5" t="s">
        <v>30</v>
      </c>
      <c r="D108" s="2" t="s">
        <v>1417</v>
      </c>
      <c r="E108" s="4" t="s">
        <v>452</v>
      </c>
      <c r="F108" s="4" t="str">
        <f>VLOOKUP(I108,'Трансп. каталог'!$F$3:$I$743,2,0)</f>
        <v xml:space="preserve">
не позднее 26.09.2025</v>
      </c>
      <c r="G108" s="67">
        <f>VLOOKUP(I108,'Трансп. каталог'!$F$3:$I$743,3,0)</f>
        <v>0</v>
      </c>
      <c r="H108" s="24" t="s">
        <v>453</v>
      </c>
      <c r="I108" s="25" t="str">
        <f t="shared" si="2"/>
        <v>060701704032025</v>
      </c>
      <c r="J108" s="43" t="s">
        <v>616</v>
      </c>
      <c r="K108" s="43" t="s">
        <v>574</v>
      </c>
      <c r="L108" s="43" t="s">
        <v>588</v>
      </c>
      <c r="M108" s="85" t="s">
        <v>574</v>
      </c>
      <c r="N108" s="90" t="s">
        <v>630</v>
      </c>
      <c r="O108" s="90" t="s">
        <v>1368</v>
      </c>
      <c r="P108" s="4" t="s">
        <v>276</v>
      </c>
      <c r="Q108" s="4" t="s">
        <v>10</v>
      </c>
      <c r="R108" s="74">
        <f>VLOOKUP(I108,'Трансп. каталог'!$F$3:$I$743,4,0)</f>
        <v>0</v>
      </c>
    </row>
    <row r="109" spans="1:18" hidden="1" x14ac:dyDescent="0.2">
      <c r="A109" s="27" t="s">
        <v>275</v>
      </c>
      <c r="B109" s="28" t="s">
        <v>2</v>
      </c>
      <c r="C109" s="28" t="s">
        <v>30</v>
      </c>
      <c r="D109" s="2" t="s">
        <v>1417</v>
      </c>
      <c r="E109" s="26" t="s">
        <v>456</v>
      </c>
      <c r="F109" s="26" t="str">
        <f>VLOOKUP(I109,'Трансп. каталог'!$F$3:$I$743,2,0)</f>
        <v xml:space="preserve">
не позднее 26.12.2025</v>
      </c>
      <c r="G109" s="68">
        <f>VLOOKUP(I109,'Трансп. каталог'!$F$3:$I$743,3,0)</f>
        <v>0</v>
      </c>
      <c r="H109" s="27" t="s">
        <v>457</v>
      </c>
      <c r="I109" s="29" t="str">
        <f t="shared" si="2"/>
        <v>060701704042025</v>
      </c>
      <c r="J109" s="44" t="s">
        <v>665</v>
      </c>
      <c r="K109" s="44" t="s">
        <v>633</v>
      </c>
      <c r="L109" s="44" t="s">
        <v>701</v>
      </c>
      <c r="M109" s="86" t="s">
        <v>633</v>
      </c>
      <c r="N109" s="91" t="s">
        <v>507</v>
      </c>
      <c r="O109" s="91" t="s">
        <v>1392</v>
      </c>
      <c r="P109" s="26" t="s">
        <v>276</v>
      </c>
      <c r="Q109" s="26" t="s">
        <v>10</v>
      </c>
      <c r="R109" s="74">
        <f>VLOOKUP(I109,'Трансп. каталог'!$F$3:$I$743,4,0)</f>
        <v>0</v>
      </c>
    </row>
    <row r="110" spans="1:18" hidden="1" x14ac:dyDescent="0.2">
      <c r="A110" s="15" t="s">
        <v>290</v>
      </c>
      <c r="B110" s="16" t="s">
        <v>2</v>
      </c>
      <c r="C110" s="16" t="s">
        <v>30</v>
      </c>
      <c r="D110" s="14" t="s">
        <v>1418</v>
      </c>
      <c r="E110" s="14">
        <v>2024</v>
      </c>
      <c r="F110" s="14" t="str">
        <f>VLOOKUP(I110,'Трансп. каталог'!$F$3:$I$743,2,0)</f>
        <v>не позднее 28.12.2024</v>
      </c>
      <c r="G110" s="64" t="str">
        <f>VLOOKUP(I110,'Трансп. каталог'!$F$3:$I$743,3,0)</f>
        <v>с 14 по 25 января после отчетного периода</v>
      </c>
      <c r="H110" s="15" t="s">
        <v>392</v>
      </c>
      <c r="I110" s="17" t="str">
        <f t="shared" si="2"/>
        <v>060706501012024</v>
      </c>
      <c r="J110" s="92" t="s">
        <v>678</v>
      </c>
      <c r="K110" s="92" t="s">
        <v>462</v>
      </c>
      <c r="L110" s="92" t="s">
        <v>463</v>
      </c>
      <c r="M110" s="96" t="s">
        <v>462</v>
      </c>
      <c r="N110" s="97" t="s">
        <v>666</v>
      </c>
      <c r="O110" s="97" t="s">
        <v>522</v>
      </c>
      <c r="P110" s="14" t="s">
        <v>276</v>
      </c>
      <c r="Q110" s="14" t="s">
        <v>10</v>
      </c>
      <c r="R110" s="73">
        <f>VLOOKUP(I110,'Трансп. каталог'!$F$3:$I$743,4,0)</f>
        <v>0</v>
      </c>
    </row>
    <row r="111" spans="1:18" hidden="1" x14ac:dyDescent="0.2">
      <c r="A111" s="15" t="s">
        <v>186</v>
      </c>
      <c r="B111" s="16" t="s">
        <v>2</v>
      </c>
      <c r="C111" s="16" t="s">
        <v>30</v>
      </c>
      <c r="D111" s="14" t="s">
        <v>187</v>
      </c>
      <c r="E111" s="14">
        <v>2024</v>
      </c>
      <c r="F111" s="14" t="str">
        <f>VLOOKUP(I111,'Трансп. каталог'!$F$3:$I$743,2,0)</f>
        <v>не позднее 28.12.2024</v>
      </c>
      <c r="G111" s="64" t="str">
        <f>VLOOKUP(I111,'Трансп. каталог'!$F$3:$I$743,3,0)</f>
        <v>с 20 января по 1 февраля после отчетного периода</v>
      </c>
      <c r="H111" s="15" t="s">
        <v>392</v>
      </c>
      <c r="I111" s="17" t="str">
        <f t="shared" si="2"/>
        <v>060708001012024</v>
      </c>
      <c r="J111" s="92" t="s">
        <v>509</v>
      </c>
      <c r="K111" s="92" t="s">
        <v>576</v>
      </c>
      <c r="L111" s="92" t="s">
        <v>620</v>
      </c>
      <c r="M111" s="96" t="s">
        <v>576</v>
      </c>
      <c r="N111" s="97" t="s">
        <v>470</v>
      </c>
      <c r="O111" s="97" t="s">
        <v>397</v>
      </c>
      <c r="P111" s="14" t="s">
        <v>188</v>
      </c>
      <c r="Q111" s="14" t="s">
        <v>10</v>
      </c>
      <c r="R111" s="73">
        <f>VLOOKUP(I111,'Трансп. каталог'!$F$3:$I$743,4,0)</f>
        <v>0</v>
      </c>
    </row>
    <row r="112" spans="1:18" hidden="1" x14ac:dyDescent="0.2">
      <c r="A112" s="18" t="s">
        <v>211</v>
      </c>
      <c r="B112" s="3" t="s">
        <v>2</v>
      </c>
      <c r="C112" s="3" t="s">
        <v>30</v>
      </c>
      <c r="D112" s="2" t="s">
        <v>212</v>
      </c>
      <c r="E112" s="2" t="s">
        <v>395</v>
      </c>
      <c r="F112" s="2" t="str">
        <f>VLOOKUP(I112,'Трансп. каталог'!$F$3:$I$743,2,0)</f>
        <v>не позднее 31.01.2025</v>
      </c>
      <c r="G112" s="65">
        <f>VLOOKUP(I112,'Трансп. каталог'!$F$3:$I$743,3,0)</f>
        <v>0</v>
      </c>
      <c r="H112" s="18" t="s">
        <v>396</v>
      </c>
      <c r="I112" s="19" t="str">
        <f t="shared" si="2"/>
        <v>060800312012025</v>
      </c>
      <c r="J112" s="93" t="s">
        <v>401</v>
      </c>
      <c r="K112" s="93" t="s">
        <v>509</v>
      </c>
      <c r="L112" s="93" t="s">
        <v>659</v>
      </c>
      <c r="M112" s="115">
        <v>45692</v>
      </c>
      <c r="N112" s="95" t="s">
        <v>524</v>
      </c>
      <c r="O112" s="95" t="s">
        <v>544</v>
      </c>
      <c r="P112" s="2" t="s">
        <v>213</v>
      </c>
      <c r="Q112" s="2"/>
      <c r="R112" s="74">
        <f>VLOOKUP(I112,'Трансп. каталог'!$F$3:$I$743,4,0)</f>
        <v>0</v>
      </c>
    </row>
    <row r="113" spans="1:18" hidden="1" x14ac:dyDescent="0.2">
      <c r="A113" s="21" t="s">
        <v>211</v>
      </c>
      <c r="B113" s="22" t="s">
        <v>2</v>
      </c>
      <c r="C113" s="22" t="s">
        <v>30</v>
      </c>
      <c r="D113" s="2" t="s">
        <v>212</v>
      </c>
      <c r="E113" s="20" t="s">
        <v>399</v>
      </c>
      <c r="F113" s="20" t="str">
        <f>VLOOKUP(I113,'Трансп. каталог'!$F$3:$I$743,2,0)</f>
        <v>не позднее 28.02.2025</v>
      </c>
      <c r="G113" s="66">
        <f>VLOOKUP(I113,'Трансп. каталог'!$F$3:$I$743,3,0)</f>
        <v>0</v>
      </c>
      <c r="H113" s="21" t="s">
        <v>400</v>
      </c>
      <c r="I113" s="23" t="str">
        <f t="shared" si="2"/>
        <v>060800312022025</v>
      </c>
      <c r="J113" s="93" t="s">
        <v>546</v>
      </c>
      <c r="K113" s="93" t="s">
        <v>670</v>
      </c>
      <c r="L113" s="93" t="s">
        <v>591</v>
      </c>
      <c r="M113" s="137">
        <v>45719</v>
      </c>
      <c r="N113" s="103" t="s">
        <v>526</v>
      </c>
      <c r="O113" s="103" t="s">
        <v>467</v>
      </c>
      <c r="P113" s="20" t="s">
        <v>213</v>
      </c>
      <c r="Q113" s="20"/>
      <c r="R113" s="74">
        <f>VLOOKUP(I113,'Трансп. каталог'!$F$3:$I$743,4,0)</f>
        <v>0</v>
      </c>
    </row>
    <row r="114" spans="1:18" hidden="1" x14ac:dyDescent="0.2">
      <c r="A114" s="24" t="s">
        <v>211</v>
      </c>
      <c r="B114" s="5" t="s">
        <v>2</v>
      </c>
      <c r="C114" s="5" t="s">
        <v>30</v>
      </c>
      <c r="D114" s="2" t="s">
        <v>212</v>
      </c>
      <c r="E114" s="4" t="s">
        <v>403</v>
      </c>
      <c r="F114" s="4" t="str">
        <f>VLOOKUP(I114,'Трансп. каталог'!$F$3:$I$743,2,0)</f>
        <v>не позднее 28.03.2025</v>
      </c>
      <c r="G114" s="67">
        <f>VLOOKUP(I114,'Трансп. каталог'!$F$3:$I$743,3,0)</f>
        <v>0</v>
      </c>
      <c r="H114" s="24" t="s">
        <v>404</v>
      </c>
      <c r="I114" s="25" t="str">
        <f t="shared" si="2"/>
        <v>060800312032025</v>
      </c>
      <c r="J114" s="110" t="s">
        <v>444</v>
      </c>
      <c r="K114" s="110" t="s">
        <v>393</v>
      </c>
      <c r="L114" s="110" t="s">
        <v>661</v>
      </c>
      <c r="M114" s="137" t="s">
        <v>393</v>
      </c>
      <c r="N114" s="103" t="s">
        <v>558</v>
      </c>
      <c r="O114" s="103" t="s">
        <v>528</v>
      </c>
      <c r="P114" s="4" t="s">
        <v>213</v>
      </c>
      <c r="Q114" s="4"/>
      <c r="R114" s="74">
        <f>VLOOKUP(I114,'Трансп. каталог'!$F$3:$I$743,4,0)</f>
        <v>0</v>
      </c>
    </row>
    <row r="115" spans="1:18" hidden="1" x14ac:dyDescent="0.2">
      <c r="A115" s="24" t="s">
        <v>211</v>
      </c>
      <c r="B115" s="5" t="s">
        <v>2</v>
      </c>
      <c r="C115" s="5" t="s">
        <v>30</v>
      </c>
      <c r="D115" s="2" t="s">
        <v>212</v>
      </c>
      <c r="E115" s="4" t="s">
        <v>407</v>
      </c>
      <c r="F115" s="4" t="str">
        <f>VLOOKUP(I115,'Трансп. каталог'!$F$3:$I$743,2,0)</f>
        <v>не позднее 28.04.2025</v>
      </c>
      <c r="G115" s="67">
        <f>VLOOKUP(I115,'Трансп. каталог'!$F$3:$I$743,3,0)</f>
        <v>0</v>
      </c>
      <c r="H115" s="24" t="s">
        <v>408</v>
      </c>
      <c r="I115" s="25" t="str">
        <f t="shared" si="2"/>
        <v>060800312042025</v>
      </c>
      <c r="J115" s="110" t="s">
        <v>472</v>
      </c>
      <c r="K115" s="110" t="s">
        <v>603</v>
      </c>
      <c r="L115" s="110" t="s">
        <v>550</v>
      </c>
      <c r="M115" s="137" t="s">
        <v>603</v>
      </c>
      <c r="N115" s="103" t="s">
        <v>698</v>
      </c>
      <c r="O115" s="103" t="s">
        <v>530</v>
      </c>
      <c r="P115" s="4" t="s">
        <v>213</v>
      </c>
      <c r="Q115" s="4"/>
      <c r="R115" s="74">
        <f>VLOOKUP(I115,'Трансп. каталог'!$F$3:$I$743,4,0)</f>
        <v>0</v>
      </c>
    </row>
    <row r="116" spans="1:18" hidden="1" x14ac:dyDescent="0.2">
      <c r="A116" s="24" t="s">
        <v>211</v>
      </c>
      <c r="B116" s="5" t="s">
        <v>2</v>
      </c>
      <c r="C116" s="5" t="s">
        <v>30</v>
      </c>
      <c r="D116" s="2" t="s">
        <v>212</v>
      </c>
      <c r="E116" s="4" t="s">
        <v>411</v>
      </c>
      <c r="F116" s="4" t="str">
        <f>VLOOKUP(I116,'Трансп. каталог'!$F$3:$I$743,2,0)</f>
        <v>не позднее 30.05.2025</v>
      </c>
      <c r="G116" s="67">
        <f>VLOOKUP(I116,'Трансп. каталог'!$F$3:$I$743,3,0)</f>
        <v>0</v>
      </c>
      <c r="H116" s="24" t="s">
        <v>412</v>
      </c>
      <c r="I116" s="25" t="str">
        <f t="shared" si="2"/>
        <v>060800312052025</v>
      </c>
      <c r="J116" s="110" t="s">
        <v>417</v>
      </c>
      <c r="K116" s="110" t="s">
        <v>624</v>
      </c>
      <c r="L116" s="110" t="s">
        <v>501</v>
      </c>
      <c r="M116" s="137" t="s">
        <v>624</v>
      </c>
      <c r="N116" s="103" t="s">
        <v>532</v>
      </c>
      <c r="O116" s="103" t="s">
        <v>473</v>
      </c>
      <c r="P116" s="4" t="s">
        <v>213</v>
      </c>
      <c r="Q116" s="4"/>
      <c r="R116" s="74">
        <f>VLOOKUP(I116,'Трансп. каталог'!$F$3:$I$743,4,0)</f>
        <v>0</v>
      </c>
    </row>
    <row r="117" spans="1:18" hidden="1" x14ac:dyDescent="0.2">
      <c r="A117" s="24" t="s">
        <v>211</v>
      </c>
      <c r="B117" s="5" t="s">
        <v>2</v>
      </c>
      <c r="C117" s="5" t="s">
        <v>30</v>
      </c>
      <c r="D117" s="2" t="s">
        <v>212</v>
      </c>
      <c r="E117" s="4" t="s">
        <v>415</v>
      </c>
      <c r="F117" s="4" t="str">
        <f>VLOOKUP(I117,'Трансп. каталог'!$F$3:$I$743,2,0)</f>
        <v>не позднее 27.06.2025</v>
      </c>
      <c r="G117" s="67">
        <f>VLOOKUP(I117,'Трансп. каталог'!$F$3:$I$743,3,0)</f>
        <v>0</v>
      </c>
      <c r="H117" s="24" t="s">
        <v>416</v>
      </c>
      <c r="I117" s="25" t="str">
        <f t="shared" si="2"/>
        <v>060800312062025</v>
      </c>
      <c r="J117" s="110" t="s">
        <v>474</v>
      </c>
      <c r="K117" s="110" t="s">
        <v>483</v>
      </c>
      <c r="L117" s="110" t="s">
        <v>694</v>
      </c>
      <c r="M117" s="137" t="s">
        <v>483</v>
      </c>
      <c r="N117" s="103" t="s">
        <v>559</v>
      </c>
      <c r="O117" s="103" t="s">
        <v>534</v>
      </c>
      <c r="P117" s="4" t="s">
        <v>213</v>
      </c>
      <c r="Q117" s="4"/>
      <c r="R117" s="74">
        <f>VLOOKUP(I117,'Трансп. каталог'!$F$3:$I$743,4,0)</f>
        <v>0</v>
      </c>
    </row>
    <row r="118" spans="1:18" hidden="1" x14ac:dyDescent="0.2">
      <c r="A118" s="24" t="s">
        <v>211</v>
      </c>
      <c r="B118" s="5" t="s">
        <v>2</v>
      </c>
      <c r="C118" s="5" t="s">
        <v>30</v>
      </c>
      <c r="D118" s="2" t="s">
        <v>212</v>
      </c>
      <c r="E118" s="4" t="s">
        <v>419</v>
      </c>
      <c r="F118" s="4" t="str">
        <f>VLOOKUP(I118,'Трансп. каталог'!$F$3:$I$743,2,0)</f>
        <v>не позднее 31.07.2025</v>
      </c>
      <c r="G118" s="67">
        <f>VLOOKUP(I118,'Трансп. каталог'!$F$3:$I$743,3,0)</f>
        <v>0</v>
      </c>
      <c r="H118" s="24" t="s">
        <v>420</v>
      </c>
      <c r="I118" s="25" t="str">
        <f t="shared" si="2"/>
        <v>060800312072025</v>
      </c>
      <c r="J118" s="43" t="s">
        <v>475</v>
      </c>
      <c r="K118" s="43" t="s">
        <v>627</v>
      </c>
      <c r="L118" s="43" t="s">
        <v>598</v>
      </c>
      <c r="M118" s="85" t="s">
        <v>627</v>
      </c>
      <c r="N118" s="90" t="s">
        <v>536</v>
      </c>
      <c r="O118" s="90" t="s">
        <v>581</v>
      </c>
      <c r="P118" s="4" t="s">
        <v>213</v>
      </c>
      <c r="Q118" s="4"/>
      <c r="R118" s="74">
        <f>VLOOKUP(I118,'Трансп. каталог'!$F$3:$I$743,4,0)</f>
        <v>0</v>
      </c>
    </row>
    <row r="119" spans="1:18" hidden="1" x14ac:dyDescent="0.2">
      <c r="A119" s="24" t="s">
        <v>211</v>
      </c>
      <c r="B119" s="5" t="s">
        <v>2</v>
      </c>
      <c r="C119" s="5" t="s">
        <v>30</v>
      </c>
      <c r="D119" s="2" t="s">
        <v>212</v>
      </c>
      <c r="E119" s="4" t="s">
        <v>423</v>
      </c>
      <c r="F119" s="4" t="str">
        <f>VLOOKUP(I119,'Трансп. каталог'!$F$3:$I$743,2,0)</f>
        <v>не позднее 29.08.2025</v>
      </c>
      <c r="G119" s="67">
        <f>VLOOKUP(I119,'Трансп. каталог'!$F$3:$I$743,3,0)</f>
        <v>0</v>
      </c>
      <c r="H119" s="24" t="s">
        <v>424</v>
      </c>
      <c r="I119" s="25" t="str">
        <f t="shared" si="2"/>
        <v>060800312082025</v>
      </c>
      <c r="J119" s="43" t="s">
        <v>454</v>
      </c>
      <c r="K119" s="43" t="s">
        <v>607</v>
      </c>
      <c r="L119" s="43" t="s">
        <v>574</v>
      </c>
      <c r="M119" s="85" t="s">
        <v>607</v>
      </c>
      <c r="N119" s="90" t="s">
        <v>567</v>
      </c>
      <c r="O119" s="90" t="s">
        <v>476</v>
      </c>
      <c r="P119" s="4" t="s">
        <v>213</v>
      </c>
      <c r="Q119" s="4"/>
      <c r="R119" s="74">
        <f>VLOOKUP(I119,'Трансп. каталог'!$F$3:$I$743,4,0)</f>
        <v>0</v>
      </c>
    </row>
    <row r="120" spans="1:18" hidden="1" x14ac:dyDescent="0.2">
      <c r="A120" s="24" t="s">
        <v>211</v>
      </c>
      <c r="B120" s="5" t="s">
        <v>2</v>
      </c>
      <c r="C120" s="5" t="s">
        <v>30</v>
      </c>
      <c r="D120" s="2" t="s">
        <v>212</v>
      </c>
      <c r="E120" s="4" t="s">
        <v>427</v>
      </c>
      <c r="F120" s="4" t="str">
        <f>VLOOKUP(I120,'Трансп. каталог'!$F$3:$I$743,2,0)</f>
        <v>не позднее 30.09.2025</v>
      </c>
      <c r="G120" s="67">
        <f>VLOOKUP(I120,'Трансп. каталог'!$F$3:$I$743,3,0)</f>
        <v>0</v>
      </c>
      <c r="H120" s="24" t="s">
        <v>428</v>
      </c>
      <c r="I120" s="25" t="str">
        <f t="shared" si="2"/>
        <v>060800312092025</v>
      </c>
      <c r="J120" s="43" t="s">
        <v>601</v>
      </c>
      <c r="K120" s="43" t="s">
        <v>485</v>
      </c>
      <c r="L120" s="43" t="s">
        <v>695</v>
      </c>
      <c r="M120" s="85" t="s">
        <v>485</v>
      </c>
      <c r="N120" s="90" t="s">
        <v>717</v>
      </c>
      <c r="O120" s="90" t="s">
        <v>455</v>
      </c>
      <c r="P120" s="4" t="s">
        <v>213</v>
      </c>
      <c r="Q120" s="4"/>
      <c r="R120" s="74">
        <f>VLOOKUP(I120,'Трансп. каталог'!$F$3:$I$743,4,0)</f>
        <v>0</v>
      </c>
    </row>
    <row r="121" spans="1:18" hidden="1" x14ac:dyDescent="0.2">
      <c r="A121" s="24" t="s">
        <v>211</v>
      </c>
      <c r="B121" s="5" t="s">
        <v>2</v>
      </c>
      <c r="C121" s="5" t="s">
        <v>30</v>
      </c>
      <c r="D121" s="2" t="s">
        <v>212</v>
      </c>
      <c r="E121" s="4" t="s">
        <v>431</v>
      </c>
      <c r="F121" s="4" t="str">
        <f>VLOOKUP(I121,'Трансп. каталог'!$F$3:$I$743,2,0)</f>
        <v>не позднее 31.10.2025</v>
      </c>
      <c r="G121" s="67">
        <f>VLOOKUP(I121,'Трансп. каталог'!$F$3:$I$743,3,0)</f>
        <v>0</v>
      </c>
      <c r="H121" s="24" t="s">
        <v>432</v>
      </c>
      <c r="I121" s="25" t="str">
        <f t="shared" si="2"/>
        <v>060800312102025</v>
      </c>
      <c r="J121" s="43" t="s">
        <v>437</v>
      </c>
      <c r="K121" s="43" t="s">
        <v>602</v>
      </c>
      <c r="L121" s="43" t="s">
        <v>506</v>
      </c>
      <c r="M121" s="85" t="s">
        <v>602</v>
      </c>
      <c r="N121" s="90" t="s">
        <v>486</v>
      </c>
      <c r="O121" s="90" t="s">
        <v>479</v>
      </c>
      <c r="P121" s="4" t="s">
        <v>213</v>
      </c>
      <c r="Q121" s="4"/>
      <c r="R121" s="74">
        <f>VLOOKUP(I121,'Трансп. каталог'!$F$3:$I$743,4,0)</f>
        <v>0</v>
      </c>
    </row>
    <row r="122" spans="1:18" hidden="1" x14ac:dyDescent="0.2">
      <c r="A122" s="24" t="s">
        <v>211</v>
      </c>
      <c r="B122" s="5" t="s">
        <v>2</v>
      </c>
      <c r="C122" s="5" t="s">
        <v>30</v>
      </c>
      <c r="D122" s="2" t="s">
        <v>212</v>
      </c>
      <c r="E122" s="4" t="s">
        <v>435</v>
      </c>
      <c r="F122" s="4" t="str">
        <f>VLOOKUP(I122,'Трансп. каталог'!$F$3:$I$743,2,0)</f>
        <v>не позднее 28.11.2025</v>
      </c>
      <c r="G122" s="67">
        <f>VLOOKUP(I122,'Трансп. каталог'!$F$3:$I$743,3,0)</f>
        <v>0</v>
      </c>
      <c r="H122" s="24" t="s">
        <v>436</v>
      </c>
      <c r="I122" s="25" t="str">
        <f t="shared" si="2"/>
        <v>060800312112025</v>
      </c>
      <c r="J122" s="43" t="s">
        <v>458</v>
      </c>
      <c r="K122" s="43" t="s">
        <v>608</v>
      </c>
      <c r="L122" s="43" t="s">
        <v>575</v>
      </c>
      <c r="M122" s="85" t="s">
        <v>608</v>
      </c>
      <c r="N122" s="90" t="s">
        <v>569</v>
      </c>
      <c r="O122" s="90" t="s">
        <v>480</v>
      </c>
      <c r="P122" s="4" t="s">
        <v>213</v>
      </c>
      <c r="Q122" s="4"/>
      <c r="R122" s="74">
        <f>VLOOKUP(I122,'Трансп. каталог'!$F$3:$I$743,4,0)</f>
        <v>0</v>
      </c>
    </row>
    <row r="123" spans="1:18" hidden="1" x14ac:dyDescent="0.2">
      <c r="A123" s="27" t="s">
        <v>201</v>
      </c>
      <c r="B123" s="28" t="s">
        <v>2</v>
      </c>
      <c r="C123" s="28" t="s">
        <v>30</v>
      </c>
      <c r="D123" s="2" t="s">
        <v>202</v>
      </c>
      <c r="E123" s="26">
        <v>2024</v>
      </c>
      <c r="F123" s="26" t="e">
        <f>VLOOKUP(I123,'Трансп. каталог'!$F$3:$I$743,2,0)</f>
        <v>#N/A</v>
      </c>
      <c r="G123" s="68" t="e">
        <f>VLOOKUP(I123,'Трансп. каталог'!$F$3:$I$743,3,0)</f>
        <v>#N/A</v>
      </c>
      <c r="H123" s="27" t="s">
        <v>392</v>
      </c>
      <c r="I123" s="29" t="str">
        <f t="shared" si="2"/>
        <v>060801101012024</v>
      </c>
      <c r="J123" s="141" t="s">
        <v>393</v>
      </c>
      <c r="K123" s="141" t="s">
        <v>510</v>
      </c>
      <c r="L123" s="141" t="s">
        <v>413</v>
      </c>
      <c r="M123" s="106" t="s">
        <v>510</v>
      </c>
      <c r="N123" s="107" t="s">
        <v>469</v>
      </c>
      <c r="O123" s="107" t="s">
        <v>546</v>
      </c>
      <c r="P123" s="26" t="s">
        <v>203</v>
      </c>
      <c r="Q123" s="26"/>
      <c r="R123" s="74"/>
    </row>
    <row r="124" spans="1:18" hidden="1" x14ac:dyDescent="0.2">
      <c r="A124" s="21" t="s">
        <v>178</v>
      </c>
      <c r="B124" s="22" t="s">
        <v>2</v>
      </c>
      <c r="C124" s="22" t="s">
        <v>30</v>
      </c>
      <c r="D124" s="20" t="s">
        <v>179</v>
      </c>
      <c r="E124" s="20" t="s">
        <v>446</v>
      </c>
      <c r="F124" s="20" t="str">
        <f>VLOOKUP(I124,'Трансп. каталог'!$F$3:$I$743,2,0)</f>
        <v>не позднее 28.03.2025</v>
      </c>
      <c r="G124" s="66">
        <f>VLOOKUP(I124,'Трансп. каталог'!$F$3:$I$743,3,0)</f>
        <v>0</v>
      </c>
      <c r="H124" s="21" t="s">
        <v>447</v>
      </c>
      <c r="I124" s="23" t="str">
        <f t="shared" si="2"/>
        <v>060801204012025</v>
      </c>
      <c r="J124" s="94" t="s">
        <v>603</v>
      </c>
      <c r="K124" s="94" t="s">
        <v>511</v>
      </c>
      <c r="L124" s="94" t="s">
        <v>667</v>
      </c>
      <c r="M124" s="84" t="s">
        <v>511</v>
      </c>
      <c r="N124" s="89" t="s">
        <v>444</v>
      </c>
      <c r="O124" s="89" t="s">
        <v>409</v>
      </c>
      <c r="P124" s="20" t="s">
        <v>180</v>
      </c>
      <c r="Q124" s="20"/>
      <c r="R124" s="75">
        <f>VLOOKUP(I124,'Трансп. каталог'!$F$3:$I$743,4,0)</f>
        <v>0</v>
      </c>
    </row>
    <row r="125" spans="1:18" hidden="1" x14ac:dyDescent="0.2">
      <c r="A125" s="24" t="s">
        <v>178</v>
      </c>
      <c r="B125" s="5" t="s">
        <v>2</v>
      </c>
      <c r="C125" s="5" t="s">
        <v>30</v>
      </c>
      <c r="D125" s="20" t="s">
        <v>179</v>
      </c>
      <c r="E125" s="4" t="s">
        <v>449</v>
      </c>
      <c r="F125" s="4" t="str">
        <f>VLOOKUP(I125,'Трансп. каталог'!$F$3:$I$743,2,0)</f>
        <v>не позднее 30.06.2025</v>
      </c>
      <c r="G125" s="67">
        <f>VLOOKUP(I125,'Трансп. каталог'!$F$3:$I$743,3,0)</f>
        <v>0</v>
      </c>
      <c r="H125" s="24" t="s">
        <v>450</v>
      </c>
      <c r="I125" s="25" t="str">
        <f t="shared" si="2"/>
        <v>060801204022025</v>
      </c>
      <c r="J125" s="94" t="s">
        <v>422</v>
      </c>
      <c r="K125" s="94" t="s">
        <v>513</v>
      </c>
      <c r="L125" s="94" t="s">
        <v>502</v>
      </c>
      <c r="M125" s="104" t="s">
        <v>513</v>
      </c>
      <c r="N125" s="105" t="s">
        <v>552</v>
      </c>
      <c r="O125" s="105" t="s">
        <v>627</v>
      </c>
      <c r="P125" s="4" t="s">
        <v>180</v>
      </c>
      <c r="Q125" s="4"/>
      <c r="R125" s="75">
        <f>VLOOKUP(I125,'Трансп. каталог'!$F$3:$I$743,4,0)</f>
        <v>0</v>
      </c>
    </row>
    <row r="126" spans="1:18" hidden="1" x14ac:dyDescent="0.2">
      <c r="A126" s="24" t="s">
        <v>178</v>
      </c>
      <c r="B126" s="5" t="s">
        <v>2</v>
      </c>
      <c r="C126" s="5" t="s">
        <v>30</v>
      </c>
      <c r="D126" s="20" t="s">
        <v>179</v>
      </c>
      <c r="E126" s="4" t="s">
        <v>452</v>
      </c>
      <c r="F126" s="4" t="str">
        <f>VLOOKUP(I126,'Трансп. каталог'!$F$3:$I$743,2,0)</f>
        <v>не позднее 29.09.2025</v>
      </c>
      <c r="G126" s="67">
        <f>VLOOKUP(I126,'Трансп. каталог'!$F$3:$I$743,3,0)</f>
        <v>0</v>
      </c>
      <c r="H126" s="24" t="s">
        <v>453</v>
      </c>
      <c r="I126" s="25" t="str">
        <f t="shared" si="2"/>
        <v>060801204032025</v>
      </c>
      <c r="J126" s="43" t="s">
        <v>1385</v>
      </c>
      <c r="K126" s="43" t="s">
        <v>516</v>
      </c>
      <c r="L126" s="43" t="s">
        <v>676</v>
      </c>
      <c r="M126" s="85" t="s">
        <v>516</v>
      </c>
      <c r="N126" s="90" t="s">
        <v>556</v>
      </c>
      <c r="O126" s="90" t="s">
        <v>602</v>
      </c>
      <c r="P126" s="4" t="s">
        <v>180</v>
      </c>
      <c r="Q126" s="4"/>
      <c r="R126" s="75">
        <f>VLOOKUP(I126,'Трансп. каталог'!$F$3:$I$743,4,0)</f>
        <v>0</v>
      </c>
    </row>
    <row r="127" spans="1:18" hidden="1" x14ac:dyDescent="0.2">
      <c r="A127" s="24" t="s">
        <v>178</v>
      </c>
      <c r="B127" s="5" t="s">
        <v>2</v>
      </c>
      <c r="C127" s="5" t="s">
        <v>30</v>
      </c>
      <c r="D127" s="20" t="s">
        <v>179</v>
      </c>
      <c r="E127" s="4" t="s">
        <v>456</v>
      </c>
      <c r="F127" s="4" t="str">
        <f>VLOOKUP(I127,'Трансп. каталог'!$F$3:$I$743,2,0)</f>
        <v>не позднее 29.12.2025</v>
      </c>
      <c r="G127" s="67">
        <f>VLOOKUP(I127,'Трансп. каталог'!$F$3:$I$743,3,0)</f>
        <v>0</v>
      </c>
      <c r="H127" s="24" t="s">
        <v>457</v>
      </c>
      <c r="I127" s="25" t="str">
        <f t="shared" si="2"/>
        <v>060801204042025</v>
      </c>
      <c r="J127" s="43"/>
      <c r="K127" s="43" t="s">
        <v>617</v>
      </c>
      <c r="L127" s="43" t="s">
        <v>677</v>
      </c>
      <c r="M127" s="85" t="s">
        <v>617</v>
      </c>
      <c r="N127" s="85"/>
      <c r="O127" s="85"/>
      <c r="P127" s="4" t="s">
        <v>180</v>
      </c>
      <c r="Q127" s="4"/>
      <c r="R127" s="75">
        <f>VLOOKUP(I127,'Трансп. каталог'!$F$3:$I$743,4,0)</f>
        <v>0</v>
      </c>
    </row>
    <row r="128" spans="1:18" hidden="1" x14ac:dyDescent="0.2">
      <c r="A128" s="24" t="s">
        <v>365</v>
      </c>
      <c r="B128" s="5" t="s">
        <v>2</v>
      </c>
      <c r="C128" s="5" t="s">
        <v>3</v>
      </c>
      <c r="D128" s="20" t="s">
        <v>366</v>
      </c>
      <c r="E128" s="4" t="s">
        <v>446</v>
      </c>
      <c r="F128" s="4" t="str">
        <f>VLOOKUP(I128,'Трансп. каталог'!$F$3:$I$743,2,0)</f>
        <v>не позднее 27.03.2025</v>
      </c>
      <c r="G128" s="67">
        <f>VLOOKUP(I128,'Трансп. каталог'!$F$3:$I$743,3,0)</f>
        <v>0</v>
      </c>
      <c r="H128" s="24" t="s">
        <v>447</v>
      </c>
      <c r="I128" s="25" t="str">
        <f t="shared" si="2"/>
        <v>060801404012025</v>
      </c>
      <c r="J128" s="149" t="s">
        <v>409</v>
      </c>
      <c r="K128" s="149" t="s">
        <v>393</v>
      </c>
      <c r="L128" s="149" t="s">
        <v>500</v>
      </c>
      <c r="M128" s="104" t="s">
        <v>393</v>
      </c>
      <c r="N128" s="105" t="s">
        <v>444</v>
      </c>
      <c r="O128" s="105" t="s">
        <v>548</v>
      </c>
      <c r="P128" s="4" t="s">
        <v>367</v>
      </c>
      <c r="Q128" s="4" t="s">
        <v>16</v>
      </c>
      <c r="R128" s="75">
        <f>VLOOKUP(I128,'Трансп. каталог'!$F$3:$I$743,4,0)</f>
        <v>0</v>
      </c>
    </row>
    <row r="129" spans="1:18" hidden="1" x14ac:dyDescent="0.2">
      <c r="A129" s="24" t="s">
        <v>365</v>
      </c>
      <c r="B129" s="5" t="s">
        <v>2</v>
      </c>
      <c r="C129" s="5" t="s">
        <v>3</v>
      </c>
      <c r="D129" s="20" t="s">
        <v>366</v>
      </c>
      <c r="E129" s="4" t="s">
        <v>449</v>
      </c>
      <c r="F129" s="4" t="str">
        <f>VLOOKUP(I129,'Трансп. каталог'!$F$3:$I$743,2,0)</f>
        <v>не позднее 27.06.2025</v>
      </c>
      <c r="G129" s="67">
        <f>VLOOKUP(I129,'Трансп. каталог'!$F$3:$I$743,3,0)</f>
        <v>0</v>
      </c>
      <c r="H129" s="24" t="s">
        <v>687</v>
      </c>
      <c r="I129" s="25" t="str">
        <f t="shared" si="2"/>
        <v>060801402012025</v>
      </c>
      <c r="J129" s="152">
        <v>45868</v>
      </c>
      <c r="K129" s="110" t="s">
        <v>483</v>
      </c>
      <c r="L129" s="110" t="s">
        <v>514</v>
      </c>
      <c r="M129" s="105" t="s">
        <v>483</v>
      </c>
      <c r="N129" s="105" t="s">
        <v>474</v>
      </c>
      <c r="O129" s="105" t="s">
        <v>579</v>
      </c>
      <c r="P129" s="4" t="s">
        <v>367</v>
      </c>
      <c r="Q129" s="4" t="s">
        <v>16</v>
      </c>
      <c r="R129" s="75">
        <f>VLOOKUP(I129,'Трансп. каталог'!$F$3:$I$743,4,0)</f>
        <v>0</v>
      </c>
    </row>
    <row r="130" spans="1:18" hidden="1" x14ac:dyDescent="0.2">
      <c r="A130" s="24" t="s">
        <v>365</v>
      </c>
      <c r="B130" s="5" t="s">
        <v>2</v>
      </c>
      <c r="C130" s="5" t="s">
        <v>3</v>
      </c>
      <c r="D130" s="20" t="s">
        <v>366</v>
      </c>
      <c r="E130" s="4" t="s">
        <v>452</v>
      </c>
      <c r="F130" s="4" t="str">
        <f>VLOOKUP(I130,'Трансп. каталог'!$F$3:$I$743,2,0)</f>
        <v xml:space="preserve">не позднее 26.09.2025 </v>
      </c>
      <c r="G130" s="67">
        <f>VLOOKUP(I130,'Трансп. каталог'!$F$3:$I$743,3,0)</f>
        <v>0</v>
      </c>
      <c r="H130" s="24" t="s">
        <v>453</v>
      </c>
      <c r="I130" s="25" t="str">
        <f t="shared" si="2"/>
        <v>060801404032025</v>
      </c>
      <c r="J130" s="43" t="s">
        <v>556</v>
      </c>
      <c r="K130" s="43" t="s">
        <v>485</v>
      </c>
      <c r="L130" s="43" t="s">
        <v>518</v>
      </c>
      <c r="M130" s="85" t="s">
        <v>485</v>
      </c>
      <c r="N130" s="90" t="s">
        <v>587</v>
      </c>
      <c r="O130" s="90" t="s">
        <v>477</v>
      </c>
      <c r="P130" s="4" t="s">
        <v>367</v>
      </c>
      <c r="Q130" s="4" t="s">
        <v>16</v>
      </c>
      <c r="R130" s="75">
        <f>VLOOKUP(I130,'Трансп. каталог'!$F$3:$I$743,4,0)</f>
        <v>0</v>
      </c>
    </row>
    <row r="131" spans="1:18" hidden="1" x14ac:dyDescent="0.2">
      <c r="A131" s="24" t="s">
        <v>214</v>
      </c>
      <c r="B131" s="5" t="s">
        <v>2</v>
      </c>
      <c r="C131" s="5" t="s">
        <v>30</v>
      </c>
      <c r="D131" s="20" t="s">
        <v>1049</v>
      </c>
      <c r="E131" s="4" t="s">
        <v>446</v>
      </c>
      <c r="F131" s="4" t="str">
        <f>VLOOKUP(I131,'Трансп. каталог'!$F$3:$I$743,2,0)</f>
        <v>не позднее 28.03.2025</v>
      </c>
      <c r="G131" s="67">
        <f>VLOOKUP(I131,'Трансп. каталог'!$F$3:$I$743,3,0)</f>
        <v>0</v>
      </c>
      <c r="H131" s="24" t="s">
        <v>447</v>
      </c>
      <c r="I131" s="25" t="str">
        <f t="shared" si="2"/>
        <v>060802004012025</v>
      </c>
      <c r="J131" s="110" t="s">
        <v>703</v>
      </c>
      <c r="K131" s="110" t="s">
        <v>393</v>
      </c>
      <c r="L131" s="110" t="s">
        <v>444</v>
      </c>
      <c r="M131" s="85" t="s">
        <v>393</v>
      </c>
      <c r="N131" s="88" t="s">
        <v>1401</v>
      </c>
      <c r="O131" s="88" t="s">
        <v>1401</v>
      </c>
      <c r="P131" s="4" t="s">
        <v>215</v>
      </c>
      <c r="Q131" s="4"/>
      <c r="R131" s="75" t="s">
        <v>1407</v>
      </c>
    </row>
    <row r="132" spans="1:18" hidden="1" x14ac:dyDescent="0.2">
      <c r="A132" s="24" t="s">
        <v>214</v>
      </c>
      <c r="B132" s="5" t="s">
        <v>2</v>
      </c>
      <c r="C132" s="5" t="s">
        <v>30</v>
      </c>
      <c r="D132" s="20" t="s">
        <v>1049</v>
      </c>
      <c r="E132" s="4" t="s">
        <v>449</v>
      </c>
      <c r="F132" s="4" t="str">
        <f>VLOOKUP(I132,'Трансп. каталог'!$F$3:$I$743,2,0)</f>
        <v>не позднее 27.06.2025</v>
      </c>
      <c r="G132" s="67">
        <f>VLOOKUP(I132,'Трансп. каталог'!$F$3:$I$743,3,0)</f>
        <v>0</v>
      </c>
      <c r="H132" s="24" t="s">
        <v>450</v>
      </c>
      <c r="I132" s="25" t="str">
        <f t="shared" si="2"/>
        <v>060802004022025</v>
      </c>
      <c r="J132" s="110" t="s">
        <v>688</v>
      </c>
      <c r="K132" s="110" t="s">
        <v>483</v>
      </c>
      <c r="L132" s="110" t="s">
        <v>579</v>
      </c>
      <c r="M132" s="104" t="s">
        <v>483</v>
      </c>
      <c r="N132" s="88" t="s">
        <v>1401</v>
      </c>
      <c r="O132" s="88" t="s">
        <v>1401</v>
      </c>
      <c r="P132" s="4" t="s">
        <v>215</v>
      </c>
      <c r="Q132" s="4"/>
      <c r="R132" s="75" t="s">
        <v>1407</v>
      </c>
    </row>
    <row r="133" spans="1:18" hidden="1" x14ac:dyDescent="0.2">
      <c r="A133" s="24" t="s">
        <v>214</v>
      </c>
      <c r="B133" s="5" t="s">
        <v>2</v>
      </c>
      <c r="C133" s="5" t="s">
        <v>30</v>
      </c>
      <c r="D133" s="20" t="s">
        <v>1049</v>
      </c>
      <c r="E133" s="4" t="s">
        <v>452</v>
      </c>
      <c r="F133" s="4" t="str">
        <f>VLOOKUP(I133,'Трансп. каталог'!$F$3:$I$743,2,0)</f>
        <v>не позднее 30.09.2025</v>
      </c>
      <c r="G133" s="67">
        <f>VLOOKUP(I133,'Трансп. каталог'!$F$3:$I$743,3,0)</f>
        <v>0</v>
      </c>
      <c r="H133" s="24" t="s">
        <v>453</v>
      </c>
      <c r="I133" s="25" t="str">
        <f t="shared" si="2"/>
        <v>060802004032025</v>
      </c>
      <c r="J133" s="43" t="s">
        <v>639</v>
      </c>
      <c r="K133" s="43" t="s">
        <v>485</v>
      </c>
      <c r="L133" s="43" t="s">
        <v>601</v>
      </c>
      <c r="M133" s="85" t="s">
        <v>485</v>
      </c>
      <c r="N133" s="88" t="s">
        <v>1401</v>
      </c>
      <c r="O133" s="88" t="s">
        <v>1401</v>
      </c>
      <c r="P133" s="4" t="s">
        <v>215</v>
      </c>
      <c r="Q133" s="4"/>
      <c r="R133" s="75" t="s">
        <v>1407</v>
      </c>
    </row>
    <row r="134" spans="1:18" hidden="1" x14ac:dyDescent="0.2">
      <c r="A134" s="24" t="s">
        <v>209</v>
      </c>
      <c r="B134" s="5" t="s">
        <v>2</v>
      </c>
      <c r="C134" s="5" t="s">
        <v>30</v>
      </c>
      <c r="D134" s="20" t="s">
        <v>210</v>
      </c>
      <c r="E134" s="4">
        <v>2024</v>
      </c>
      <c r="F134" s="4" t="str">
        <f>VLOOKUP(I134,'Трансп. каталог'!$F$3:$I$743,2,0)</f>
        <v>не позднее 20.12.2024</v>
      </c>
      <c r="G134" s="67" t="str">
        <f>VLOOKUP(I134,'Трансп. каталог'!$F$3:$I$743,3,0)</f>
        <v>с 1-го рабочего дня по 25-е число после отчетного периода</v>
      </c>
      <c r="H134" s="24" t="s">
        <v>392</v>
      </c>
      <c r="I134" s="25" t="str">
        <f t="shared" si="2"/>
        <v>060802601012024</v>
      </c>
      <c r="J134" s="110" t="s">
        <v>642</v>
      </c>
      <c r="K134" s="110" t="s">
        <v>693</v>
      </c>
      <c r="L134" s="110" t="s">
        <v>520</v>
      </c>
      <c r="M134" s="104" t="s">
        <v>693</v>
      </c>
      <c r="N134" s="105" t="s">
        <v>666</v>
      </c>
      <c r="O134" s="105" t="s">
        <v>522</v>
      </c>
      <c r="P134" s="4" t="s">
        <v>206</v>
      </c>
      <c r="Q134" s="4"/>
      <c r="R134" s="75">
        <f>VLOOKUP(I134,'Трансп. каталог'!$F$3:$I$743,4,0)</f>
        <v>0</v>
      </c>
    </row>
    <row r="135" spans="1:18" hidden="1" x14ac:dyDescent="0.2">
      <c r="A135" s="27" t="s">
        <v>196</v>
      </c>
      <c r="B135" s="28" t="s">
        <v>12</v>
      </c>
      <c r="C135" s="28" t="s">
        <v>3</v>
      </c>
      <c r="D135" s="20" t="s">
        <v>197</v>
      </c>
      <c r="E135" s="26">
        <v>2024</v>
      </c>
      <c r="F135" s="26" t="e">
        <f>VLOOKUP(I135,'Трансп. каталог'!$F$3:$I$743,2,0)</f>
        <v>#N/A</v>
      </c>
      <c r="G135" s="68" t="e">
        <f>VLOOKUP(I135,'Трансп. каталог'!$F$3:$I$743,3,0)</f>
        <v>#N/A</v>
      </c>
      <c r="H135" s="27" t="s">
        <v>392</v>
      </c>
      <c r="I135" s="29" t="str">
        <f t="shared" si="2"/>
        <v>060802801012024</v>
      </c>
      <c r="J135" s="189">
        <v>45748</v>
      </c>
      <c r="K135" s="109">
        <v>45703</v>
      </c>
      <c r="L135" s="141" t="s">
        <v>661</v>
      </c>
      <c r="M135" s="160">
        <v>45706</v>
      </c>
      <c r="N135" s="160">
        <v>45742</v>
      </c>
      <c r="O135" s="160">
        <v>45744</v>
      </c>
      <c r="P135" s="26" t="s">
        <v>180</v>
      </c>
      <c r="Q135" s="26" t="s">
        <v>33</v>
      </c>
      <c r="R135" s="75"/>
    </row>
    <row r="136" spans="1:18" hidden="1" x14ac:dyDescent="0.2">
      <c r="A136" s="18" t="s">
        <v>198</v>
      </c>
      <c r="B136" s="3" t="s">
        <v>2</v>
      </c>
      <c r="C136" s="3" t="s">
        <v>30</v>
      </c>
      <c r="D136" s="2" t="s">
        <v>199</v>
      </c>
      <c r="E136" s="2">
        <v>2024</v>
      </c>
      <c r="F136" s="2" t="e">
        <f>VLOOKUP(I136,'Трансп. каталог'!$F$3:$I$743,2,0)</f>
        <v>#N/A</v>
      </c>
      <c r="G136" s="65" t="e">
        <f>VLOOKUP(I136,'Трансп. каталог'!$F$3:$I$743,3,0)</f>
        <v>#N/A</v>
      </c>
      <c r="H136" s="18" t="s">
        <v>392</v>
      </c>
      <c r="I136" s="19" t="str">
        <f t="shared" si="2"/>
        <v>060803401012024</v>
      </c>
      <c r="J136" s="93" t="s">
        <v>393</v>
      </c>
      <c r="K136" s="93" t="s">
        <v>585</v>
      </c>
      <c r="L136" s="93" t="s">
        <v>500</v>
      </c>
      <c r="M136" s="101" t="s">
        <v>1401</v>
      </c>
      <c r="N136" s="101" t="s">
        <v>1401</v>
      </c>
      <c r="O136" s="101" t="s">
        <v>1401</v>
      </c>
      <c r="P136" s="2" t="s">
        <v>200</v>
      </c>
      <c r="Q136" s="2"/>
      <c r="R136" s="74" t="s">
        <v>1408</v>
      </c>
    </row>
    <row r="137" spans="1:18" hidden="1" x14ac:dyDescent="0.2">
      <c r="A137" s="21" t="s">
        <v>216</v>
      </c>
      <c r="B137" s="22" t="s">
        <v>2</v>
      </c>
      <c r="C137" s="22" t="s">
        <v>30</v>
      </c>
      <c r="D137" s="2" t="s">
        <v>217</v>
      </c>
      <c r="E137" s="20">
        <v>2024</v>
      </c>
      <c r="F137" s="20" t="str">
        <f>VLOOKUP(I137,'Трансп. каталог'!$F$3:$I$743,2,0)</f>
        <v>не позднее 28.12.2024</v>
      </c>
      <c r="G137" s="66" t="str">
        <f>VLOOKUP(I137,'Трансп. каталог'!$F$3:$I$743,3,0)</f>
        <v xml:space="preserve">с 1-го рабочего дня января 
по 10 февраля после отчетного периода
</v>
      </c>
      <c r="H137" s="21" t="s">
        <v>392</v>
      </c>
      <c r="I137" s="23" t="str">
        <f t="shared" si="2"/>
        <v>060803501012024</v>
      </c>
      <c r="J137" s="94" t="s">
        <v>658</v>
      </c>
      <c r="K137" s="94" t="s">
        <v>462</v>
      </c>
      <c r="L137" s="94" t="s">
        <v>610</v>
      </c>
      <c r="M137" s="102" t="s">
        <v>462</v>
      </c>
      <c r="N137" s="103" t="s">
        <v>460</v>
      </c>
      <c r="O137" s="103" t="s">
        <v>620</v>
      </c>
      <c r="P137" s="20" t="s">
        <v>218</v>
      </c>
      <c r="Q137" s="20" t="s">
        <v>16</v>
      </c>
      <c r="R137" s="75">
        <f>VLOOKUP(I137,'Трансп. каталог'!$F$3:$I$743,4,0)</f>
        <v>0</v>
      </c>
    </row>
    <row r="138" spans="1:18" hidden="1" x14ac:dyDescent="0.2">
      <c r="A138" s="24" t="s">
        <v>29</v>
      </c>
      <c r="B138" s="5" t="s">
        <v>2</v>
      </c>
      <c r="C138" s="5" t="s">
        <v>30</v>
      </c>
      <c r="D138" s="2" t="s">
        <v>31</v>
      </c>
      <c r="E138" s="4">
        <v>2024</v>
      </c>
      <c r="F138" s="4" t="str">
        <f>VLOOKUP(I138,'Трансп. каталог'!$F$3:$I$743,2,0)</f>
        <v>не позднее 28.12.2024</v>
      </c>
      <c r="G138" s="67" t="str">
        <f>VLOOKUP(I138,'Трансп. каталог'!$F$3:$I$743,3,0)</f>
        <v>с 1-го рабочего дня января по 20 января</v>
      </c>
      <c r="H138" s="24" t="s">
        <v>392</v>
      </c>
      <c r="I138" s="25" t="str">
        <f t="shared" si="2"/>
        <v>060803801012024</v>
      </c>
      <c r="J138" s="110" t="s">
        <v>705</v>
      </c>
      <c r="K138" s="110" t="s">
        <v>462</v>
      </c>
      <c r="L138" s="110" t="s">
        <v>463</v>
      </c>
      <c r="M138" s="104" t="s">
        <v>462</v>
      </c>
      <c r="N138" s="105" t="s">
        <v>464</v>
      </c>
      <c r="O138" s="105" t="s">
        <v>1384</v>
      </c>
      <c r="P138" s="4" t="s">
        <v>32</v>
      </c>
      <c r="Q138" s="4" t="s">
        <v>33</v>
      </c>
      <c r="R138" s="71" t="s">
        <v>1403</v>
      </c>
    </row>
    <row r="139" spans="1:18" hidden="1" x14ac:dyDescent="0.2">
      <c r="A139" s="24" t="s">
        <v>320</v>
      </c>
      <c r="B139" s="5" t="s">
        <v>2</v>
      </c>
      <c r="C139" s="5" t="s">
        <v>30</v>
      </c>
      <c r="D139" s="2" t="s">
        <v>321</v>
      </c>
      <c r="E139" s="4">
        <v>2024</v>
      </c>
      <c r="F139" s="4" t="str">
        <f>VLOOKUP(I139,'Трансп. каталог'!$F$3:$I$743,2,0)</f>
        <v>не позднее 28.12.2024</v>
      </c>
      <c r="G139" s="67" t="str">
        <f>VLOOKUP(I139,'Трансп. каталог'!$F$3:$I$743,3,0)</f>
        <v xml:space="preserve">с 1-го рабочего дня по 25 января
после отчетного периода
</v>
      </c>
      <c r="H139" s="24" t="s">
        <v>392</v>
      </c>
      <c r="I139" s="25" t="str">
        <f t="shared" si="2"/>
        <v>060900601012024</v>
      </c>
      <c r="J139" s="110" t="s">
        <v>678</v>
      </c>
      <c r="K139" s="110" t="s">
        <v>462</v>
      </c>
      <c r="L139" s="110" t="s">
        <v>678</v>
      </c>
      <c r="M139" s="104" t="s">
        <v>462</v>
      </c>
      <c r="N139" s="105" t="s">
        <v>666</v>
      </c>
      <c r="O139" s="105" t="s">
        <v>522</v>
      </c>
      <c r="P139" s="4" t="s">
        <v>322</v>
      </c>
      <c r="Q139" s="4" t="s">
        <v>33</v>
      </c>
      <c r="R139" s="71" t="s">
        <v>1403</v>
      </c>
    </row>
    <row r="140" spans="1:18" hidden="1" x14ac:dyDescent="0.2">
      <c r="A140" s="24" t="s">
        <v>332</v>
      </c>
      <c r="B140" s="5" t="s">
        <v>2</v>
      </c>
      <c r="C140" s="5" t="s">
        <v>30</v>
      </c>
      <c r="D140" s="2" t="s">
        <v>333</v>
      </c>
      <c r="E140" s="4">
        <v>2024</v>
      </c>
      <c r="F140" s="4" t="e">
        <f>VLOOKUP(I140,'Трансп. каталог'!$F$3:$I$743,2,0)</f>
        <v>#N/A</v>
      </c>
      <c r="G140" s="67" t="e">
        <f>VLOOKUP(I140,'Трансп. каталог'!$F$3:$I$743,3,0)</f>
        <v>#N/A</v>
      </c>
      <c r="H140" s="24" t="s">
        <v>392</v>
      </c>
      <c r="I140" s="25" t="str">
        <f t="shared" si="2"/>
        <v>060901701012024</v>
      </c>
      <c r="J140" s="110" t="s">
        <v>493</v>
      </c>
      <c r="K140" s="110" t="s">
        <v>398</v>
      </c>
      <c r="L140" s="110" t="s">
        <v>493</v>
      </c>
      <c r="M140" s="104" t="s">
        <v>398</v>
      </c>
      <c r="N140" s="105" t="s">
        <v>525</v>
      </c>
      <c r="O140" s="105" t="s">
        <v>494</v>
      </c>
      <c r="P140" s="4" t="s">
        <v>334</v>
      </c>
      <c r="Q140" s="4" t="s">
        <v>33</v>
      </c>
      <c r="R140" s="71"/>
    </row>
    <row r="141" spans="1:18" hidden="1" x14ac:dyDescent="0.2">
      <c r="A141" s="24" t="s">
        <v>351</v>
      </c>
      <c r="B141" s="5" t="s">
        <v>2</v>
      </c>
      <c r="C141" s="5" t="s">
        <v>30</v>
      </c>
      <c r="D141" s="2" t="s">
        <v>352</v>
      </c>
      <c r="E141" s="4">
        <v>2024</v>
      </c>
      <c r="F141" s="4" t="str">
        <f>VLOOKUP(I141,'Трансп. каталог'!$F$3:$I$743,2,0)</f>
        <v>не позднее 28.12.2024</v>
      </c>
      <c r="G141" s="67" t="str">
        <f>VLOOKUP(I141,'Трансп. каталог'!$F$3:$I$743,3,0)</f>
        <v>с 1-го рабочего дня по 25 января после отчетного периода</v>
      </c>
      <c r="H141" s="24" t="s">
        <v>392</v>
      </c>
      <c r="I141" s="25" t="str">
        <f t="shared" si="2"/>
        <v>060903001012024</v>
      </c>
      <c r="J141" s="110" t="s">
        <v>642</v>
      </c>
      <c r="K141" s="110" t="s">
        <v>462</v>
      </c>
      <c r="L141" s="152">
        <v>45730</v>
      </c>
      <c r="M141" s="104" t="s">
        <v>462</v>
      </c>
      <c r="N141" s="105" t="s">
        <v>666</v>
      </c>
      <c r="O141" s="105" t="s">
        <v>522</v>
      </c>
      <c r="P141" s="4" t="s">
        <v>353</v>
      </c>
      <c r="Q141" s="4" t="s">
        <v>33</v>
      </c>
      <c r="R141" s="71" t="s">
        <v>1403</v>
      </c>
    </row>
    <row r="142" spans="1:18" hidden="1" x14ac:dyDescent="0.2">
      <c r="A142" s="24" t="s">
        <v>318</v>
      </c>
      <c r="B142" s="5" t="s">
        <v>2</v>
      </c>
      <c r="C142" s="5" t="s">
        <v>30</v>
      </c>
      <c r="D142" s="2" t="s">
        <v>319</v>
      </c>
      <c r="E142" s="4">
        <v>2024</v>
      </c>
      <c r="F142" s="4" t="str">
        <f>VLOOKUP(I142,'Трансп. каталог'!$F$3:$I$743,2,0)</f>
        <v>не позднее 20.12.2024</v>
      </c>
      <c r="G142" s="67" t="str">
        <f>VLOOKUP(I142,'Трансп. каталог'!$F$3:$I$743,3,0)</f>
        <v>с 1-го рабочего дня по 18 января после отчетного периода</v>
      </c>
      <c r="H142" s="24" t="s">
        <v>392</v>
      </c>
      <c r="I142" s="25" t="str">
        <f t="shared" si="2"/>
        <v>060904001012024</v>
      </c>
      <c r="J142" s="110" t="s">
        <v>705</v>
      </c>
      <c r="K142" s="110" t="s">
        <v>653</v>
      </c>
      <c r="L142" s="110" t="s">
        <v>705</v>
      </c>
      <c r="M142" s="104" t="s">
        <v>653</v>
      </c>
      <c r="N142" s="105" t="s">
        <v>464</v>
      </c>
      <c r="O142" s="105" t="s">
        <v>1384</v>
      </c>
      <c r="P142" s="4" t="s">
        <v>314</v>
      </c>
      <c r="Q142" s="4" t="s">
        <v>33</v>
      </c>
      <c r="R142" s="71" t="s">
        <v>1403</v>
      </c>
    </row>
    <row r="143" spans="1:18" hidden="1" x14ac:dyDescent="0.2">
      <c r="A143" s="24" t="s">
        <v>312</v>
      </c>
      <c r="B143" s="5" t="s">
        <v>2</v>
      </c>
      <c r="C143" s="5" t="s">
        <v>30</v>
      </c>
      <c r="D143" s="2" t="s">
        <v>313</v>
      </c>
      <c r="E143" s="4">
        <v>2024</v>
      </c>
      <c r="F143" s="4" t="str">
        <f>VLOOKUP(I143,'Трансп. каталог'!$F$3:$I$743,2,0)</f>
        <v>не позднее 20.12.2024</v>
      </c>
      <c r="G143" s="67" t="str">
        <f>VLOOKUP(I143,'Трансп. каталог'!$F$3:$I$743,3,0)</f>
        <v>с 1-го рабочего дня по 22 января после отчетного периода</v>
      </c>
      <c r="H143" s="24" t="s">
        <v>392</v>
      </c>
      <c r="I143" s="25" t="str">
        <f t="shared" si="2"/>
        <v>060904501012024</v>
      </c>
      <c r="J143" s="110" t="s">
        <v>666</v>
      </c>
      <c r="K143" s="110" t="s">
        <v>653</v>
      </c>
      <c r="L143" s="110" t="s">
        <v>666</v>
      </c>
      <c r="M143" s="104" t="s">
        <v>653</v>
      </c>
      <c r="N143" s="105" t="s">
        <v>464</v>
      </c>
      <c r="O143" s="105" t="s">
        <v>1384</v>
      </c>
      <c r="P143" s="4" t="s">
        <v>314</v>
      </c>
      <c r="Q143" s="4" t="s">
        <v>33</v>
      </c>
      <c r="R143" s="71" t="s">
        <v>1403</v>
      </c>
    </row>
    <row r="144" spans="1:18" hidden="1" x14ac:dyDescent="0.2">
      <c r="A144" s="24" t="s">
        <v>34</v>
      </c>
      <c r="B144" s="5" t="s">
        <v>2</v>
      </c>
      <c r="C144" s="5" t="s">
        <v>30</v>
      </c>
      <c r="D144" s="2" t="s">
        <v>35</v>
      </c>
      <c r="E144" s="4">
        <v>2024</v>
      </c>
      <c r="F144" s="4" t="str">
        <f>VLOOKUP(I144,'Трансп. каталог'!$F$3:$I$743,2,0)</f>
        <v>не позднее 28.12.2024</v>
      </c>
      <c r="G144" s="67" t="str">
        <f>VLOOKUP(I144,'Трансп. каталог'!$F$3:$I$743,3,0)</f>
        <v xml:space="preserve">с 15 января
по 5 февраля
</v>
      </c>
      <c r="H144" s="24" t="s">
        <v>392</v>
      </c>
      <c r="I144" s="25" t="str">
        <f t="shared" si="2"/>
        <v>060920001012024</v>
      </c>
      <c r="J144" s="110" t="s">
        <v>620</v>
      </c>
      <c r="K144" s="110" t="s">
        <v>464</v>
      </c>
      <c r="L144" s="110" t="s">
        <v>465</v>
      </c>
      <c r="M144" s="104" t="s">
        <v>464</v>
      </c>
      <c r="N144" s="105" t="s">
        <v>398</v>
      </c>
      <c r="O144" s="105" t="s">
        <v>589</v>
      </c>
      <c r="P144" s="4" t="s">
        <v>36</v>
      </c>
      <c r="Q144" s="4" t="s">
        <v>16</v>
      </c>
      <c r="R144" s="71" t="s">
        <v>1403</v>
      </c>
    </row>
    <row r="145" spans="1:18" hidden="1" x14ac:dyDescent="0.2">
      <c r="A145" s="24" t="s">
        <v>37</v>
      </c>
      <c r="B145" s="5" t="s">
        <v>2</v>
      </c>
      <c r="C145" s="5" t="s">
        <v>30</v>
      </c>
      <c r="D145" s="2" t="s">
        <v>38</v>
      </c>
      <c r="E145" s="4">
        <v>2024</v>
      </c>
      <c r="F145" s="4" t="str">
        <f>VLOOKUP(I145,'Трансп. каталог'!$F$3:$I$743,2,0)</f>
        <v>не позднее 28.12.2024</v>
      </c>
      <c r="G145" s="67" t="str">
        <f>VLOOKUP(I145,'Трансп. каталог'!$F$3:$I$743,3,0)</f>
        <v>с 20 января
по 1 марта</v>
      </c>
      <c r="H145" s="24" t="s">
        <v>392</v>
      </c>
      <c r="I145" s="25" t="str">
        <f t="shared" si="2"/>
        <v>060920401012024</v>
      </c>
      <c r="J145" s="110" t="s">
        <v>402</v>
      </c>
      <c r="K145" s="110" t="s">
        <v>466</v>
      </c>
      <c r="L145" s="110" t="s">
        <v>467</v>
      </c>
      <c r="M145" s="104" t="s">
        <v>466</v>
      </c>
      <c r="N145" s="105" t="s">
        <v>471</v>
      </c>
      <c r="O145" s="105" t="s">
        <v>401</v>
      </c>
      <c r="P145" s="4" t="s">
        <v>39</v>
      </c>
      <c r="Q145" s="4"/>
      <c r="R145" s="71">
        <f>VLOOKUP(I145,'Трансп. каталог'!$F$3:$I$743,4,0)</f>
        <v>0</v>
      </c>
    </row>
    <row r="146" spans="1:18" hidden="1" x14ac:dyDescent="0.2">
      <c r="A146" s="27" t="s">
        <v>40</v>
      </c>
      <c r="B146" s="28" t="s">
        <v>2</v>
      </c>
      <c r="C146" s="28" t="s">
        <v>30</v>
      </c>
      <c r="D146" s="2" t="s">
        <v>41</v>
      </c>
      <c r="E146" s="26">
        <v>2024</v>
      </c>
      <c r="F146" s="26" t="str">
        <f>VLOOKUP(I146,'Трансп. каталог'!$F$3:$I$743,2,0)</f>
        <v>не позднее 28.12.2024</v>
      </c>
      <c r="G146" s="68" t="str">
        <f>VLOOKUP(I146,'Трансп. каталог'!$F$3:$I$743,3,0)</f>
        <v xml:space="preserve">с 1-го рабочего дня января по 15 февраля
</v>
      </c>
      <c r="H146" s="27" t="s">
        <v>392</v>
      </c>
      <c r="I146" s="29" t="str">
        <f t="shared" si="2"/>
        <v>060920701012024</v>
      </c>
      <c r="J146" s="141" t="s">
        <v>585</v>
      </c>
      <c r="K146" s="141" t="s">
        <v>462</v>
      </c>
      <c r="L146" s="141" t="s">
        <v>468</v>
      </c>
      <c r="M146" s="106" t="s">
        <v>462</v>
      </c>
      <c r="N146" s="107" t="s">
        <v>520</v>
      </c>
      <c r="O146" s="107" t="s">
        <v>510</v>
      </c>
      <c r="P146" s="26" t="s">
        <v>42</v>
      </c>
      <c r="Q146" s="26" t="s">
        <v>16</v>
      </c>
      <c r="R146" s="72" t="s">
        <v>1403</v>
      </c>
    </row>
    <row r="147" spans="1:18" hidden="1" x14ac:dyDescent="0.2">
      <c r="A147" s="18" t="s">
        <v>43</v>
      </c>
      <c r="B147" s="3" t="s">
        <v>2</v>
      </c>
      <c r="C147" s="3" t="s">
        <v>30</v>
      </c>
      <c r="D147" s="2" t="s">
        <v>44</v>
      </c>
      <c r="E147" s="2">
        <v>2024</v>
      </c>
      <c r="F147" s="2" t="str">
        <f>VLOOKUP(I147,'Трансп. каталог'!$F$3:$I$743,2,0)</f>
        <v>не позднее 25.12.2024</v>
      </c>
      <c r="G147" s="65" t="str">
        <f>VLOOKUP(I147,'Трансп. каталог'!$F$3:$I$743,3,0)</f>
        <v>с 1-го рабочего дня января по 15 января</v>
      </c>
      <c r="H147" s="18" t="s">
        <v>392</v>
      </c>
      <c r="I147" s="19" t="str">
        <f t="shared" si="2"/>
        <v>060921001012024</v>
      </c>
      <c r="J147" s="93" t="s">
        <v>1384</v>
      </c>
      <c r="K147" s="93" t="s">
        <v>462</v>
      </c>
      <c r="L147" s="93" t="s">
        <v>460</v>
      </c>
      <c r="M147" s="99" t="s">
        <v>462</v>
      </c>
      <c r="N147" s="95" t="s">
        <v>466</v>
      </c>
      <c r="O147" s="95" t="s">
        <v>576</v>
      </c>
      <c r="P147" s="2" t="s">
        <v>45</v>
      </c>
      <c r="Q147" s="2"/>
      <c r="R147" s="74"/>
    </row>
    <row r="148" spans="1:18" hidden="1" x14ac:dyDescent="0.2">
      <c r="A148" s="21" t="s">
        <v>46</v>
      </c>
      <c r="B148" s="22" t="s">
        <v>2</v>
      </c>
      <c r="C148" s="22" t="s">
        <v>30</v>
      </c>
      <c r="D148" s="2" t="s">
        <v>47</v>
      </c>
      <c r="E148" s="20">
        <v>2024</v>
      </c>
      <c r="F148" s="20" t="str">
        <f>VLOOKUP(I148,'Трансп. каталог'!$F$3:$I$743,2,0)</f>
        <v>не позднее 28.12.2024</v>
      </c>
      <c r="G148" s="66" t="str">
        <f>VLOOKUP(I148,'Трансп. каталог'!$F$3:$I$743,3,0)</f>
        <v>с 14 января по 24 февраля</v>
      </c>
      <c r="H148" s="21" t="s">
        <v>392</v>
      </c>
      <c r="I148" s="23" t="str">
        <f t="shared" ref="I148:I211" si="3">CONCATENATE(A148,H148)</f>
        <v>060921401012024</v>
      </c>
      <c r="J148" s="94" t="s">
        <v>636</v>
      </c>
      <c r="K148" s="94" t="s">
        <v>466</v>
      </c>
      <c r="L148" s="94" t="s">
        <v>469</v>
      </c>
      <c r="M148" s="102" t="s">
        <v>466</v>
      </c>
      <c r="N148" s="103" t="s">
        <v>669</v>
      </c>
      <c r="O148" s="103" t="s">
        <v>610</v>
      </c>
      <c r="P148" s="20" t="s">
        <v>42</v>
      </c>
      <c r="Q148" s="20"/>
      <c r="R148" s="75">
        <f>VLOOKUP(I148,'Трансп. каталог'!$F$3:$I$743,4,0)</f>
        <v>0</v>
      </c>
    </row>
    <row r="149" spans="1:18" hidden="1" x14ac:dyDescent="0.2">
      <c r="A149" s="24" t="s">
        <v>48</v>
      </c>
      <c r="B149" s="5" t="s">
        <v>2</v>
      </c>
      <c r="C149" s="5" t="s">
        <v>30</v>
      </c>
      <c r="D149" s="2" t="s">
        <v>49</v>
      </c>
      <c r="E149" s="4" t="s">
        <v>395</v>
      </c>
      <c r="F149" s="4" t="str">
        <f>VLOOKUP(I149,'Трансп. каталог'!$F$3:$I$743,2,0)</f>
        <v>не позднее 30.01.2025</v>
      </c>
      <c r="G149" s="67">
        <f>VLOOKUP(I149,'Трансп. каталог'!$F$3:$I$743,3,0)</f>
        <v>0</v>
      </c>
      <c r="H149" s="24" t="s">
        <v>396</v>
      </c>
      <c r="I149" s="25" t="str">
        <f t="shared" si="3"/>
        <v>060922412012025</v>
      </c>
      <c r="J149" s="110" t="s">
        <v>398</v>
      </c>
      <c r="K149" s="110" t="s">
        <v>470</v>
      </c>
      <c r="L149" s="110" t="s">
        <v>398</v>
      </c>
      <c r="M149" s="104" t="s">
        <v>470</v>
      </c>
      <c r="N149" s="138" t="s">
        <v>1401</v>
      </c>
      <c r="O149" s="138" t="s">
        <v>1401</v>
      </c>
      <c r="P149" s="4" t="s">
        <v>42</v>
      </c>
      <c r="Q149" s="4" t="s">
        <v>16</v>
      </c>
      <c r="R149" s="75" t="s">
        <v>1405</v>
      </c>
    </row>
    <row r="150" spans="1:18" hidden="1" x14ac:dyDescent="0.2">
      <c r="A150" s="27" t="s">
        <v>48</v>
      </c>
      <c r="B150" s="28" t="s">
        <v>2</v>
      </c>
      <c r="C150" s="28" t="s">
        <v>30</v>
      </c>
      <c r="D150" s="2" t="s">
        <v>49</v>
      </c>
      <c r="E150" s="26" t="s">
        <v>399</v>
      </c>
      <c r="F150" s="26" t="str">
        <f>VLOOKUP(I150,'Трансп. каталог'!$F$3:$I$743,2,0)</f>
        <v>не позднее 28.02.2025</v>
      </c>
      <c r="G150" s="68">
        <f>VLOOKUP(I150,'Трансп. каталог'!$F$3:$I$743,3,0)</f>
        <v>0</v>
      </c>
      <c r="H150" s="27" t="s">
        <v>400</v>
      </c>
      <c r="I150" s="29" t="str">
        <f t="shared" si="3"/>
        <v>060922412022025</v>
      </c>
      <c r="J150" s="141" t="s">
        <v>402</v>
      </c>
      <c r="K150" s="141" t="s">
        <v>471</v>
      </c>
      <c r="L150" s="141" t="s">
        <v>402</v>
      </c>
      <c r="M150" s="160">
        <v>45715</v>
      </c>
      <c r="N150" s="113" t="s">
        <v>1401</v>
      </c>
      <c r="O150" s="113" t="s">
        <v>1401</v>
      </c>
      <c r="P150" s="26" t="s">
        <v>42</v>
      </c>
      <c r="Q150" s="26" t="s">
        <v>16</v>
      </c>
      <c r="R150" s="75" t="s">
        <v>1405</v>
      </c>
    </row>
    <row r="151" spans="1:18" hidden="1" x14ac:dyDescent="0.2">
      <c r="A151" s="18" t="s">
        <v>48</v>
      </c>
      <c r="B151" s="3" t="s">
        <v>2</v>
      </c>
      <c r="C151" s="3" t="s">
        <v>30</v>
      </c>
      <c r="D151" s="2" t="s">
        <v>49</v>
      </c>
      <c r="E151" s="2" t="s">
        <v>403</v>
      </c>
      <c r="F151" s="2" t="str">
        <f>VLOOKUP(I151,'Трансп. каталог'!$F$3:$I$743,2,0)</f>
        <v>не позднее 28.03.2025</v>
      </c>
      <c r="G151" s="65">
        <f>VLOOKUP(I151,'Трансп. каталог'!$F$3:$I$743,3,0)</f>
        <v>0</v>
      </c>
      <c r="H151" s="18" t="s">
        <v>404</v>
      </c>
      <c r="I151" s="19" t="str">
        <f t="shared" si="3"/>
        <v>060922412032025</v>
      </c>
      <c r="J151" s="93" t="s">
        <v>406</v>
      </c>
      <c r="K151" s="93" t="s">
        <v>469</v>
      </c>
      <c r="L151" s="93" t="s">
        <v>406</v>
      </c>
      <c r="M151" s="115" t="s">
        <v>469</v>
      </c>
      <c r="N151" s="101" t="s">
        <v>1401</v>
      </c>
      <c r="O151" s="101" t="s">
        <v>1401</v>
      </c>
      <c r="P151" s="2" t="s">
        <v>42</v>
      </c>
      <c r="Q151" s="2" t="s">
        <v>16</v>
      </c>
      <c r="R151" s="74" t="s">
        <v>1405</v>
      </c>
    </row>
    <row r="152" spans="1:18" hidden="1" x14ac:dyDescent="0.2">
      <c r="A152" s="21" t="s">
        <v>48</v>
      </c>
      <c r="B152" s="22" t="s">
        <v>2</v>
      </c>
      <c r="C152" s="22" t="s">
        <v>30</v>
      </c>
      <c r="D152" s="2" t="s">
        <v>49</v>
      </c>
      <c r="E152" s="20" t="s">
        <v>407</v>
      </c>
      <c r="F152" s="20" t="str">
        <f>VLOOKUP(I152,'Трансп. каталог'!$F$3:$I$743,2,0)</f>
        <v>не позднее 25.04.2025</v>
      </c>
      <c r="G152" s="66">
        <f>VLOOKUP(I152,'Трансп. каталог'!$F$3:$I$743,3,0)</f>
        <v>0</v>
      </c>
      <c r="H152" s="21" t="s">
        <v>408</v>
      </c>
      <c r="I152" s="23" t="str">
        <f t="shared" si="3"/>
        <v>060922412042025</v>
      </c>
      <c r="J152" s="94" t="s">
        <v>410</v>
      </c>
      <c r="K152" s="94" t="s">
        <v>444</v>
      </c>
      <c r="L152" s="94" t="s">
        <v>410</v>
      </c>
      <c r="M152" s="115" t="s">
        <v>444</v>
      </c>
      <c r="N152" s="101" t="s">
        <v>1401</v>
      </c>
      <c r="O152" s="101" t="s">
        <v>1401</v>
      </c>
      <c r="P152" s="20" t="s">
        <v>42</v>
      </c>
      <c r="Q152" s="20" t="s">
        <v>16</v>
      </c>
      <c r="R152" s="75" t="s">
        <v>1405</v>
      </c>
    </row>
    <row r="153" spans="1:18" hidden="1" x14ac:dyDescent="0.2">
      <c r="A153" s="24" t="s">
        <v>48</v>
      </c>
      <c r="B153" s="5" t="s">
        <v>2</v>
      </c>
      <c r="C153" s="5" t="s">
        <v>30</v>
      </c>
      <c r="D153" s="2" t="s">
        <v>49</v>
      </c>
      <c r="E153" s="4" t="s">
        <v>411</v>
      </c>
      <c r="F153" s="4" t="str">
        <f>VLOOKUP(I153,'Трансп. каталог'!$F$3:$I$743,2,0)</f>
        <v>не позднее 30.05.2025</v>
      </c>
      <c r="G153" s="67">
        <f>VLOOKUP(I153,'Трансп. каталог'!$F$3:$I$743,3,0)</f>
        <v>0</v>
      </c>
      <c r="H153" s="24" t="s">
        <v>412</v>
      </c>
      <c r="I153" s="25" t="str">
        <f t="shared" si="3"/>
        <v>060922412052025</v>
      </c>
      <c r="J153" s="110" t="s">
        <v>414</v>
      </c>
      <c r="K153" s="110" t="s">
        <v>472</v>
      </c>
      <c r="L153" s="110" t="s">
        <v>414</v>
      </c>
      <c r="M153" s="115" t="s">
        <v>472</v>
      </c>
      <c r="N153" s="101" t="s">
        <v>1401</v>
      </c>
      <c r="O153" s="101" t="s">
        <v>1401</v>
      </c>
      <c r="P153" s="4" t="s">
        <v>42</v>
      </c>
      <c r="Q153" s="4" t="s">
        <v>16</v>
      </c>
      <c r="R153" s="75" t="s">
        <v>1405</v>
      </c>
    </row>
    <row r="154" spans="1:18" hidden="1" x14ac:dyDescent="0.2">
      <c r="A154" s="27" t="s">
        <v>48</v>
      </c>
      <c r="B154" s="28" t="s">
        <v>2</v>
      </c>
      <c r="C154" s="28" t="s">
        <v>30</v>
      </c>
      <c r="D154" s="2" t="s">
        <v>49</v>
      </c>
      <c r="E154" s="26" t="s">
        <v>415</v>
      </c>
      <c r="F154" s="26" t="str">
        <f>VLOOKUP(I154,'Трансп. каталог'!$F$3:$I$743,2,0)</f>
        <v>не позднее 27.06.2025</v>
      </c>
      <c r="G154" s="68">
        <f>VLOOKUP(I154,'Трансп. каталог'!$F$3:$I$743,3,0)</f>
        <v>0</v>
      </c>
      <c r="H154" s="27" t="s">
        <v>416</v>
      </c>
      <c r="I154" s="29" t="str">
        <f t="shared" si="3"/>
        <v>060922412062025</v>
      </c>
      <c r="J154" s="141" t="s">
        <v>418</v>
      </c>
      <c r="K154" s="141" t="s">
        <v>473</v>
      </c>
      <c r="L154" s="141" t="s">
        <v>418</v>
      </c>
      <c r="M154" s="115" t="s">
        <v>473</v>
      </c>
      <c r="N154" s="115" t="s">
        <v>1401</v>
      </c>
      <c r="O154" s="115" t="s">
        <v>1401</v>
      </c>
      <c r="P154" s="26" t="s">
        <v>42</v>
      </c>
      <c r="Q154" s="26" t="s">
        <v>16</v>
      </c>
      <c r="R154" s="75" t="s">
        <v>1405</v>
      </c>
    </row>
    <row r="155" spans="1:18" hidden="1" x14ac:dyDescent="0.2">
      <c r="A155" s="18" t="s">
        <v>48</v>
      </c>
      <c r="B155" s="3" t="s">
        <v>2</v>
      </c>
      <c r="C155" s="3" t="s">
        <v>30</v>
      </c>
      <c r="D155" s="2" t="s">
        <v>49</v>
      </c>
      <c r="E155" s="2" t="s">
        <v>419</v>
      </c>
      <c r="F155" s="2" t="str">
        <f>VLOOKUP(I155,'Трансп. каталог'!$F$3:$I$743,2,0)</f>
        <v>не позднее 30.07.2025</v>
      </c>
      <c r="G155" s="65">
        <f>VLOOKUP(I155,'Трансп. каталог'!$F$3:$I$743,3,0)</f>
        <v>0</v>
      </c>
      <c r="H155" s="18" t="s">
        <v>420</v>
      </c>
      <c r="I155" s="19" t="str">
        <f t="shared" si="3"/>
        <v>060922412072025</v>
      </c>
      <c r="J155" s="93" t="s">
        <v>422</v>
      </c>
      <c r="K155" s="93" t="s">
        <v>474</v>
      </c>
      <c r="L155" s="93" t="s">
        <v>422</v>
      </c>
      <c r="M155" s="83" t="s">
        <v>474</v>
      </c>
      <c r="N155" s="100" t="s">
        <v>1401</v>
      </c>
      <c r="O155" s="100" t="s">
        <v>1401</v>
      </c>
      <c r="P155" s="2" t="s">
        <v>42</v>
      </c>
      <c r="Q155" s="2" t="s">
        <v>16</v>
      </c>
      <c r="R155" s="74" t="s">
        <v>1405</v>
      </c>
    </row>
    <row r="156" spans="1:18" hidden="1" x14ac:dyDescent="0.2">
      <c r="A156" s="21" t="s">
        <v>48</v>
      </c>
      <c r="B156" s="22" t="s">
        <v>2</v>
      </c>
      <c r="C156" s="22" t="s">
        <v>30</v>
      </c>
      <c r="D156" s="2" t="s">
        <v>49</v>
      </c>
      <c r="E156" s="20" t="s">
        <v>423</v>
      </c>
      <c r="F156" s="20" t="str">
        <f>VLOOKUP(I156,'Трансп. каталог'!$F$3:$I$743,2,0)</f>
        <v>не позднее 29.08.2025</v>
      </c>
      <c r="G156" s="66">
        <f>VLOOKUP(I156,'Трансп. каталог'!$F$3:$I$743,3,0)</f>
        <v>0</v>
      </c>
      <c r="H156" s="21" t="s">
        <v>424</v>
      </c>
      <c r="I156" s="23" t="str">
        <f t="shared" si="3"/>
        <v>060922412082025</v>
      </c>
      <c r="J156" s="42" t="s">
        <v>426</v>
      </c>
      <c r="K156" s="42" t="s">
        <v>475</v>
      </c>
      <c r="L156" s="42" t="s">
        <v>426</v>
      </c>
      <c r="M156" s="84" t="s">
        <v>475</v>
      </c>
      <c r="N156" s="159" t="s">
        <v>1401</v>
      </c>
      <c r="O156" s="159" t="s">
        <v>1401</v>
      </c>
      <c r="P156" s="20" t="s">
        <v>42</v>
      </c>
      <c r="Q156" s="20" t="s">
        <v>16</v>
      </c>
      <c r="R156" s="74" t="s">
        <v>1405</v>
      </c>
    </row>
    <row r="157" spans="1:18" hidden="1" x14ac:dyDescent="0.2">
      <c r="A157" s="24" t="s">
        <v>48</v>
      </c>
      <c r="B157" s="5" t="s">
        <v>2</v>
      </c>
      <c r="C157" s="5" t="s">
        <v>30</v>
      </c>
      <c r="D157" s="2" t="s">
        <v>49</v>
      </c>
      <c r="E157" s="4" t="s">
        <v>427</v>
      </c>
      <c r="F157" s="4" t="str">
        <f>VLOOKUP(I157,'Трансп. каталог'!$F$3:$I$743,2,0)</f>
        <v>не позднее 26.09.2025</v>
      </c>
      <c r="G157" s="67">
        <f>VLOOKUP(I157,'Трансп. каталог'!$F$3:$I$743,3,0)</f>
        <v>0</v>
      </c>
      <c r="H157" s="24" t="s">
        <v>428</v>
      </c>
      <c r="I157" s="25" t="str">
        <f t="shared" si="3"/>
        <v>060922412092025</v>
      </c>
      <c r="J157" s="43" t="s">
        <v>430</v>
      </c>
      <c r="K157" s="43" t="s">
        <v>476</v>
      </c>
      <c r="L157" s="43" t="s">
        <v>430</v>
      </c>
      <c r="M157" s="85" t="s">
        <v>476</v>
      </c>
      <c r="N157" s="158" t="s">
        <v>1401</v>
      </c>
      <c r="O157" s="158" t="s">
        <v>1401</v>
      </c>
      <c r="P157" s="4" t="s">
        <v>42</v>
      </c>
      <c r="Q157" s="4" t="s">
        <v>16</v>
      </c>
      <c r="R157" s="74" t="s">
        <v>1405</v>
      </c>
    </row>
    <row r="158" spans="1:18" hidden="1" x14ac:dyDescent="0.2">
      <c r="A158" s="24" t="s">
        <v>48</v>
      </c>
      <c r="B158" s="5" t="s">
        <v>2</v>
      </c>
      <c r="C158" s="5" t="s">
        <v>30</v>
      </c>
      <c r="D158" s="2" t="s">
        <v>49</v>
      </c>
      <c r="E158" s="4" t="s">
        <v>431</v>
      </c>
      <c r="F158" s="4" t="str">
        <f>VLOOKUP(I158,'Трансп. каталог'!$F$3:$I$743,2,0)</f>
        <v>не позднее 30.10.2025</v>
      </c>
      <c r="G158" s="67">
        <f>VLOOKUP(I158,'Трансп. каталог'!$F$3:$I$743,3,0)</f>
        <v>0</v>
      </c>
      <c r="H158" s="24" t="s">
        <v>432</v>
      </c>
      <c r="I158" s="25" t="str">
        <f t="shared" si="3"/>
        <v>060922412102025</v>
      </c>
      <c r="J158" s="43" t="s">
        <v>434</v>
      </c>
      <c r="K158" s="43" t="s">
        <v>477</v>
      </c>
      <c r="L158" s="43" t="s">
        <v>478</v>
      </c>
      <c r="M158" s="85" t="s">
        <v>477</v>
      </c>
      <c r="N158" s="158" t="s">
        <v>1401</v>
      </c>
      <c r="O158" s="158" t="s">
        <v>1401</v>
      </c>
      <c r="P158" s="4" t="s">
        <v>42</v>
      </c>
      <c r="Q158" s="4" t="s">
        <v>16</v>
      </c>
      <c r="R158" s="74" t="s">
        <v>1405</v>
      </c>
    </row>
    <row r="159" spans="1:18" hidden="1" x14ac:dyDescent="0.2">
      <c r="A159" s="24" t="s">
        <v>48</v>
      </c>
      <c r="B159" s="5" t="s">
        <v>2</v>
      </c>
      <c r="C159" s="5" t="s">
        <v>30</v>
      </c>
      <c r="D159" s="2" t="s">
        <v>49</v>
      </c>
      <c r="E159" s="4" t="s">
        <v>435</v>
      </c>
      <c r="F159" s="4" t="str">
        <f>VLOOKUP(I159,'Трансп. каталог'!$F$3:$I$743,2,0)</f>
        <v>не позднее 28.11.2025</v>
      </c>
      <c r="G159" s="67">
        <f>VLOOKUP(I159,'Трансп. каталог'!$F$3:$I$743,3,0)</f>
        <v>0</v>
      </c>
      <c r="H159" s="24" t="s">
        <v>436</v>
      </c>
      <c r="I159" s="25" t="str">
        <f t="shared" si="3"/>
        <v>060922412112025</v>
      </c>
      <c r="J159" s="43" t="s">
        <v>438</v>
      </c>
      <c r="K159" s="43" t="s">
        <v>479</v>
      </c>
      <c r="L159" s="43" t="s">
        <v>438</v>
      </c>
      <c r="M159" s="85" t="s">
        <v>479</v>
      </c>
      <c r="N159" s="158" t="s">
        <v>1401</v>
      </c>
      <c r="O159" s="158" t="s">
        <v>1401</v>
      </c>
      <c r="P159" s="4" t="s">
        <v>42</v>
      </c>
      <c r="Q159" s="4" t="s">
        <v>16</v>
      </c>
      <c r="R159" s="74" t="s">
        <v>1405</v>
      </c>
    </row>
    <row r="160" spans="1:18" hidden="1" x14ac:dyDescent="0.2">
      <c r="A160" s="24" t="s">
        <v>48</v>
      </c>
      <c r="B160" s="5" t="s">
        <v>2</v>
      </c>
      <c r="C160" s="5" t="s">
        <v>30</v>
      </c>
      <c r="D160" s="2" t="s">
        <v>49</v>
      </c>
      <c r="E160" s="4" t="s">
        <v>439</v>
      </c>
      <c r="F160" s="4" t="str">
        <f>VLOOKUP(I160,'Трансп. каталог'!$F$3:$I$743,2,0)</f>
        <v>не позднее 26.12.2025</v>
      </c>
      <c r="G160" s="67">
        <f>VLOOKUP(I160,'Трансп. каталог'!$F$3:$I$743,3,0)</f>
        <v>0</v>
      </c>
      <c r="H160" s="24" t="s">
        <v>440</v>
      </c>
      <c r="I160" s="25" t="str">
        <f t="shared" si="3"/>
        <v>060922412122025</v>
      </c>
      <c r="J160" s="43" t="s">
        <v>481</v>
      </c>
      <c r="K160" s="43" t="s">
        <v>480</v>
      </c>
      <c r="L160" s="43" t="s">
        <v>481</v>
      </c>
      <c r="M160" s="85" t="s">
        <v>480</v>
      </c>
      <c r="N160" s="158" t="s">
        <v>1401</v>
      </c>
      <c r="O160" s="158" t="s">
        <v>1401</v>
      </c>
      <c r="P160" s="4" t="s">
        <v>42</v>
      </c>
      <c r="Q160" s="4" t="s">
        <v>16</v>
      </c>
      <c r="R160" s="74" t="s">
        <v>1405</v>
      </c>
    </row>
    <row r="161" spans="1:18" hidden="1" x14ac:dyDescent="0.2">
      <c r="A161" s="24" t="s">
        <v>50</v>
      </c>
      <c r="B161" s="5" t="s">
        <v>2</v>
      </c>
      <c r="C161" s="5" t="s">
        <v>30</v>
      </c>
      <c r="D161" s="2" t="s">
        <v>51</v>
      </c>
      <c r="E161" s="4" t="s">
        <v>446</v>
      </c>
      <c r="F161" s="4" t="str">
        <f>VLOOKUP(I161,'Трансп. каталог'!$F$3:$I$743,2,0)</f>
        <v>не позднее 28.03.2025</v>
      </c>
      <c r="G161" s="67">
        <f>VLOOKUP(I161,'Трансп. каталог'!$F$3:$I$743,3,0)</f>
        <v>0</v>
      </c>
      <c r="H161" s="24" t="s">
        <v>447</v>
      </c>
      <c r="I161" s="25" t="str">
        <f t="shared" si="3"/>
        <v>060922604012025</v>
      </c>
      <c r="J161" s="110" t="s">
        <v>409</v>
      </c>
      <c r="K161" s="110" t="s">
        <v>393</v>
      </c>
      <c r="L161" s="110" t="s">
        <v>482</v>
      </c>
      <c r="M161" s="104" t="s">
        <v>393</v>
      </c>
      <c r="N161" s="105" t="s">
        <v>444</v>
      </c>
      <c r="O161" s="105" t="s">
        <v>548</v>
      </c>
      <c r="P161" s="4" t="s">
        <v>42</v>
      </c>
      <c r="Q161" s="4" t="s">
        <v>16</v>
      </c>
      <c r="R161" s="74">
        <f>VLOOKUP(I161,'Трансп. каталог'!$F$3:$I$743,4,0)</f>
        <v>0</v>
      </c>
    </row>
    <row r="162" spans="1:18" hidden="1" x14ac:dyDescent="0.2">
      <c r="A162" s="24" t="s">
        <v>50</v>
      </c>
      <c r="B162" s="5" t="s">
        <v>2</v>
      </c>
      <c r="C162" s="5" t="s">
        <v>30</v>
      </c>
      <c r="D162" s="2" t="s">
        <v>51</v>
      </c>
      <c r="E162" s="4" t="s">
        <v>449</v>
      </c>
      <c r="F162" s="4" t="str">
        <f>VLOOKUP(I162,'Трансп. каталог'!$F$3:$I$743,2,0)</f>
        <v>не позднее 27.06.2025</v>
      </c>
      <c r="G162" s="67">
        <f>VLOOKUP(I162,'Трансп. каталог'!$F$3:$I$743,3,0)</f>
        <v>0</v>
      </c>
      <c r="H162" s="24" t="s">
        <v>450</v>
      </c>
      <c r="I162" s="25" t="str">
        <f t="shared" si="3"/>
        <v>060922604022025</v>
      </c>
      <c r="J162" s="110" t="s">
        <v>552</v>
      </c>
      <c r="K162" s="110" t="s">
        <v>483</v>
      </c>
      <c r="L162" s="110" t="s">
        <v>484</v>
      </c>
      <c r="M162" s="104" t="s">
        <v>483</v>
      </c>
      <c r="N162" s="105" t="s">
        <v>559</v>
      </c>
      <c r="O162" s="105" t="s">
        <v>534</v>
      </c>
      <c r="P162" s="4" t="s">
        <v>42</v>
      </c>
      <c r="Q162" s="4" t="s">
        <v>16</v>
      </c>
      <c r="R162" s="74">
        <f>VLOOKUP(I162,'Трансп. каталог'!$F$3:$I$743,4,0)</f>
        <v>0</v>
      </c>
    </row>
    <row r="163" spans="1:18" hidden="1" x14ac:dyDescent="0.2">
      <c r="A163" s="24" t="s">
        <v>50</v>
      </c>
      <c r="B163" s="5" t="s">
        <v>2</v>
      </c>
      <c r="C163" s="5" t="s">
        <v>30</v>
      </c>
      <c r="D163" s="2" t="s">
        <v>51</v>
      </c>
      <c r="E163" s="4" t="s">
        <v>452</v>
      </c>
      <c r="F163" s="4" t="str">
        <f>VLOOKUP(I163,'Трансп. каталог'!$F$3:$I$743,2,0)</f>
        <v>не позднее 26.09.2025</v>
      </c>
      <c r="G163" s="67">
        <f>VLOOKUP(I163,'Трансп. каталог'!$F$3:$I$743,3,0)</f>
        <v>0</v>
      </c>
      <c r="H163" s="24" t="s">
        <v>453</v>
      </c>
      <c r="I163" s="25" t="str">
        <f t="shared" si="3"/>
        <v>060922604032025</v>
      </c>
      <c r="J163" s="43" t="s">
        <v>556</v>
      </c>
      <c r="K163" s="43" t="s">
        <v>485</v>
      </c>
      <c r="L163" s="43" t="s">
        <v>486</v>
      </c>
      <c r="M163" s="85" t="s">
        <v>485</v>
      </c>
      <c r="N163" s="90" t="s">
        <v>587</v>
      </c>
      <c r="O163" s="90" t="s">
        <v>477</v>
      </c>
      <c r="P163" s="4" t="s">
        <v>42</v>
      </c>
      <c r="Q163" s="4" t="s">
        <v>16</v>
      </c>
      <c r="R163" s="74">
        <f>VLOOKUP(I163,'Трансп. каталог'!$F$3:$I$743,4,0)</f>
        <v>0</v>
      </c>
    </row>
    <row r="164" spans="1:18" hidden="1" x14ac:dyDescent="0.2">
      <c r="A164" s="24" t="s">
        <v>50</v>
      </c>
      <c r="B164" s="5" t="s">
        <v>2</v>
      </c>
      <c r="C164" s="5" t="s">
        <v>30</v>
      </c>
      <c r="D164" s="2" t="s">
        <v>51</v>
      </c>
      <c r="E164" s="4" t="s">
        <v>456</v>
      </c>
      <c r="F164" s="4" t="str">
        <f>VLOOKUP(I164,'Трансп. каталог'!$F$3:$I$743,2,0)</f>
        <v>не позднее 30.12.2025</v>
      </c>
      <c r="G164" s="67">
        <f>VLOOKUP(I164,'Трансп. каталог'!$F$3:$I$743,3,0)</f>
        <v>0</v>
      </c>
      <c r="H164" s="24" t="s">
        <v>457</v>
      </c>
      <c r="I164" s="25" t="str">
        <f t="shared" si="3"/>
        <v>060922604042025</v>
      </c>
      <c r="J164" s="43" t="s">
        <v>459</v>
      </c>
      <c r="K164" s="43" t="s">
        <v>487</v>
      </c>
      <c r="L164" s="43" t="s">
        <v>488</v>
      </c>
      <c r="M164" s="85" t="s">
        <v>487</v>
      </c>
      <c r="N164" s="90" t="s">
        <v>675</v>
      </c>
      <c r="O164" s="90" t="s">
        <v>1388</v>
      </c>
      <c r="P164" s="4" t="s">
        <v>42</v>
      </c>
      <c r="Q164" s="4" t="s">
        <v>16</v>
      </c>
      <c r="R164" s="74">
        <f>VLOOKUP(I164,'Трансп. каталог'!$F$3:$I$743,4,0)</f>
        <v>0</v>
      </c>
    </row>
    <row r="165" spans="1:18" hidden="1" x14ac:dyDescent="0.2">
      <c r="A165" s="24" t="s">
        <v>52</v>
      </c>
      <c r="B165" s="5" t="s">
        <v>2</v>
      </c>
      <c r="C165" s="5" t="s">
        <v>30</v>
      </c>
      <c r="D165" s="2" t="s">
        <v>53</v>
      </c>
      <c r="E165" s="4" t="s">
        <v>446</v>
      </c>
      <c r="F165" s="4" t="str">
        <f>VLOOKUP(I165,'Трансп. каталог'!$F$3:$I$743,2,0)</f>
        <v>не позднее 28.03.2025</v>
      </c>
      <c r="G165" s="67">
        <f>VLOOKUP(I165,'Трансп. каталог'!$F$3:$I$743,3,0)</f>
        <v>0</v>
      </c>
      <c r="H165" s="24" t="s">
        <v>447</v>
      </c>
      <c r="I165" s="25" t="str">
        <f t="shared" si="3"/>
        <v>060922704012025</v>
      </c>
      <c r="J165" s="110" t="s">
        <v>409</v>
      </c>
      <c r="K165" s="110" t="s">
        <v>393</v>
      </c>
      <c r="L165" s="110" t="s">
        <v>489</v>
      </c>
      <c r="M165" s="104" t="s">
        <v>393</v>
      </c>
      <c r="N165" s="105" t="s">
        <v>444</v>
      </c>
      <c r="O165" s="105" t="s">
        <v>548</v>
      </c>
      <c r="P165" s="4" t="s">
        <v>42</v>
      </c>
      <c r="Q165" s="4" t="s">
        <v>16</v>
      </c>
      <c r="R165" s="74">
        <f>VLOOKUP(I165,'Трансп. каталог'!$F$3:$I$743,4,0)</f>
        <v>0</v>
      </c>
    </row>
    <row r="166" spans="1:18" hidden="1" x14ac:dyDescent="0.2">
      <c r="A166" s="27" t="s">
        <v>52</v>
      </c>
      <c r="B166" s="28" t="s">
        <v>2</v>
      </c>
      <c r="C166" s="28" t="s">
        <v>30</v>
      </c>
      <c r="D166" s="2" t="s">
        <v>53</v>
      </c>
      <c r="E166" s="26" t="s">
        <v>449</v>
      </c>
      <c r="F166" s="26" t="str">
        <f>VLOOKUP(I166,'Трансп. каталог'!$F$3:$I$743,2,0)</f>
        <v>не позднее 27.06.2025</v>
      </c>
      <c r="G166" s="68">
        <f>VLOOKUP(I166,'Трансп. каталог'!$F$3:$I$743,3,0)</f>
        <v>0</v>
      </c>
      <c r="H166" s="27" t="s">
        <v>450</v>
      </c>
      <c r="I166" s="29" t="str">
        <f t="shared" si="3"/>
        <v>060922704022025</v>
      </c>
      <c r="J166" s="141" t="s">
        <v>552</v>
      </c>
      <c r="K166" s="141" t="s">
        <v>483</v>
      </c>
      <c r="L166" s="141" t="s">
        <v>490</v>
      </c>
      <c r="M166" s="104" t="s">
        <v>483</v>
      </c>
      <c r="N166" s="105" t="s">
        <v>559</v>
      </c>
      <c r="O166" s="105" t="s">
        <v>534</v>
      </c>
      <c r="P166" s="26" t="s">
        <v>42</v>
      </c>
      <c r="Q166" s="26" t="s">
        <v>16</v>
      </c>
      <c r="R166" s="74">
        <f>VLOOKUP(I166,'Трансп. каталог'!$F$3:$I$743,4,0)</f>
        <v>0</v>
      </c>
    </row>
    <row r="167" spans="1:18" hidden="1" x14ac:dyDescent="0.2">
      <c r="A167" s="18" t="s">
        <v>52</v>
      </c>
      <c r="B167" s="3" t="s">
        <v>2</v>
      </c>
      <c r="C167" s="3" t="s">
        <v>30</v>
      </c>
      <c r="D167" s="2" t="s">
        <v>53</v>
      </c>
      <c r="E167" s="2" t="s">
        <v>452</v>
      </c>
      <c r="F167" s="2" t="str">
        <f>VLOOKUP(I167,'Трансп. каталог'!$F$3:$I$743,2,0)</f>
        <v>не позднее 26.09.2025</v>
      </c>
      <c r="G167" s="65">
        <f>VLOOKUP(I167,'Трансп. каталог'!$F$3:$I$743,3,0)</f>
        <v>0</v>
      </c>
      <c r="H167" s="18" t="s">
        <v>453</v>
      </c>
      <c r="I167" s="19" t="str">
        <f t="shared" si="3"/>
        <v>060922704032025</v>
      </c>
      <c r="J167" s="41" t="s">
        <v>556</v>
      </c>
      <c r="K167" s="41" t="s">
        <v>485</v>
      </c>
      <c r="L167" s="41" t="s">
        <v>491</v>
      </c>
      <c r="M167" s="83" t="s">
        <v>485</v>
      </c>
      <c r="N167" s="88" t="s">
        <v>587</v>
      </c>
      <c r="O167" s="88" t="s">
        <v>477</v>
      </c>
      <c r="P167" s="2" t="s">
        <v>42</v>
      </c>
      <c r="Q167" s="2" t="s">
        <v>16</v>
      </c>
      <c r="R167" s="74">
        <f>VLOOKUP(I167,'Трансп. каталог'!$F$3:$I$743,4,0)</f>
        <v>0</v>
      </c>
    </row>
    <row r="168" spans="1:18" hidden="1" x14ac:dyDescent="0.2">
      <c r="A168" s="21" t="s">
        <v>52</v>
      </c>
      <c r="B168" s="22" t="s">
        <v>2</v>
      </c>
      <c r="C168" s="22" t="s">
        <v>30</v>
      </c>
      <c r="D168" s="2" t="s">
        <v>53</v>
      </c>
      <c r="E168" s="20" t="s">
        <v>456</v>
      </c>
      <c r="F168" s="20" t="str">
        <f>VLOOKUP(I168,'Трансп. каталог'!$F$3:$I$743,2,0)</f>
        <v>не позднее 30.12.2025</v>
      </c>
      <c r="G168" s="66">
        <f>VLOOKUP(I168,'Трансп. каталог'!$F$3:$I$743,3,0)</f>
        <v>0</v>
      </c>
      <c r="H168" s="21" t="s">
        <v>457</v>
      </c>
      <c r="I168" s="23" t="str">
        <f t="shared" si="3"/>
        <v>060922704042025</v>
      </c>
      <c r="J168" s="41" t="s">
        <v>459</v>
      </c>
      <c r="K168" s="41" t="s">
        <v>487</v>
      </c>
      <c r="L168" s="41" t="s">
        <v>492</v>
      </c>
      <c r="M168" s="84" t="s">
        <v>487</v>
      </c>
      <c r="N168" s="89" t="s">
        <v>675</v>
      </c>
      <c r="O168" s="89" t="s">
        <v>1388</v>
      </c>
      <c r="P168" s="20" t="s">
        <v>42</v>
      </c>
      <c r="Q168" s="20" t="s">
        <v>16</v>
      </c>
      <c r="R168" s="74">
        <f>VLOOKUP(I168,'Трансп. каталог'!$F$3:$I$743,4,0)</f>
        <v>0</v>
      </c>
    </row>
    <row r="169" spans="1:18" hidden="1" x14ac:dyDescent="0.2">
      <c r="A169" s="24" t="s">
        <v>54</v>
      </c>
      <c r="B169" s="5" t="s">
        <v>2</v>
      </c>
      <c r="C169" s="5" t="s">
        <v>30</v>
      </c>
      <c r="D169" s="2" t="s">
        <v>55</v>
      </c>
      <c r="E169" s="4">
        <v>2024</v>
      </c>
      <c r="F169" s="4" t="str">
        <f>VLOOKUP(I169,'Трансп. каталог'!$F$3:$I$743,2,0)</f>
        <v>не позднее 25.12.2024</v>
      </c>
      <c r="G169" s="67" t="str">
        <f>VLOOKUP(I169,'Трансп. каталог'!$F$3:$I$743,3,0)</f>
        <v>с 1-го рабочего дня января по 22 января</v>
      </c>
      <c r="H169" s="24" t="s">
        <v>392</v>
      </c>
      <c r="I169" s="25" t="str">
        <f t="shared" si="3"/>
        <v>060923101012024</v>
      </c>
      <c r="J169" s="110" t="s">
        <v>666</v>
      </c>
      <c r="K169" s="110" t="s">
        <v>462</v>
      </c>
      <c r="L169" s="110" t="s">
        <v>493</v>
      </c>
      <c r="M169" s="104" t="s">
        <v>462</v>
      </c>
      <c r="N169" s="105" t="s">
        <v>464</v>
      </c>
      <c r="O169" s="105" t="s">
        <v>1384</v>
      </c>
      <c r="P169" s="4" t="s">
        <v>56</v>
      </c>
      <c r="Q169" s="4" t="s">
        <v>6</v>
      </c>
      <c r="R169" s="74" t="s">
        <v>1403</v>
      </c>
    </row>
    <row r="170" spans="1:18" hidden="1" x14ac:dyDescent="0.2">
      <c r="A170" s="24" t="s">
        <v>60</v>
      </c>
      <c r="B170" s="5" t="s">
        <v>2</v>
      </c>
      <c r="C170" s="5" t="s">
        <v>30</v>
      </c>
      <c r="D170" s="2" t="s">
        <v>61</v>
      </c>
      <c r="E170" s="4">
        <v>2024</v>
      </c>
      <c r="F170" s="4" t="str">
        <f>VLOOKUP(I170,'Трансп. каталог'!$F$3:$I$743,2,0)</f>
        <v>не позднее 25.12.2024</v>
      </c>
      <c r="G170" s="67" t="str">
        <f>VLOOKUP(I170,'Трансп. каталог'!$F$3:$I$743,3,0)</f>
        <v>с 1-го рабочего дня января по 22 января</v>
      </c>
      <c r="H170" s="24" t="s">
        <v>392</v>
      </c>
      <c r="I170" s="25" t="str">
        <f t="shared" si="3"/>
        <v>060923501012024</v>
      </c>
      <c r="J170" s="110" t="s">
        <v>666</v>
      </c>
      <c r="K170" s="110" t="s">
        <v>462</v>
      </c>
      <c r="L170" s="110" t="s">
        <v>495</v>
      </c>
      <c r="M170" s="104" t="s">
        <v>462</v>
      </c>
      <c r="N170" s="105" t="s">
        <v>464</v>
      </c>
      <c r="O170" s="105" t="s">
        <v>1384</v>
      </c>
      <c r="P170" s="4" t="s">
        <v>62</v>
      </c>
      <c r="Q170" s="4" t="s">
        <v>6</v>
      </c>
      <c r="R170" s="74" t="s">
        <v>1409</v>
      </c>
    </row>
    <row r="171" spans="1:18" hidden="1" x14ac:dyDescent="0.2">
      <c r="A171" s="24" t="s">
        <v>57</v>
      </c>
      <c r="B171" s="5" t="s">
        <v>2</v>
      </c>
      <c r="C171" s="5" t="s">
        <v>30</v>
      </c>
      <c r="D171" s="2" t="s">
        <v>58</v>
      </c>
      <c r="E171" s="4">
        <v>2024</v>
      </c>
      <c r="F171" s="4" t="str">
        <f>VLOOKUP(I171,'Трансп. каталог'!$F$3:$I$743,2,0)</f>
        <v>не позднее 28.12.2024</v>
      </c>
      <c r="G171" s="67" t="str">
        <f>VLOOKUP(I171,'Трансп. каталог'!$F$3:$I$743,3,0)</f>
        <v>с 1-го рабочего дня января по 25 января
после отчетного периода</v>
      </c>
      <c r="H171" s="24" t="s">
        <v>392</v>
      </c>
      <c r="I171" s="25" t="str">
        <f t="shared" si="3"/>
        <v>060924501012024</v>
      </c>
      <c r="J171" s="110" t="s">
        <v>642</v>
      </c>
      <c r="K171" s="110" t="s">
        <v>462</v>
      </c>
      <c r="L171" s="110" t="s">
        <v>494</v>
      </c>
      <c r="M171" s="104" t="s">
        <v>462</v>
      </c>
      <c r="N171" s="105" t="s">
        <v>666</v>
      </c>
      <c r="O171" s="105" t="s">
        <v>522</v>
      </c>
      <c r="P171" s="4" t="s">
        <v>59</v>
      </c>
      <c r="Q171" s="4"/>
      <c r="R171" s="74"/>
    </row>
    <row r="172" spans="1:18" hidden="1" x14ac:dyDescent="0.2">
      <c r="A172" s="24" t="s">
        <v>63</v>
      </c>
      <c r="B172" s="5" t="s">
        <v>2</v>
      </c>
      <c r="C172" s="5" t="s">
        <v>30</v>
      </c>
      <c r="D172" s="2" t="s">
        <v>64</v>
      </c>
      <c r="E172" s="4" t="s">
        <v>446</v>
      </c>
      <c r="F172" s="4" t="str">
        <f>VLOOKUP(I172,'Трансп. каталог'!$F$3:$I$743,2,0)</f>
        <v>не позднее 28.03.2025</v>
      </c>
      <c r="G172" s="67">
        <f>VLOOKUP(I172,'Трансп. каталог'!$F$3:$I$743,3,0)</f>
        <v>0</v>
      </c>
      <c r="H172" s="24" t="s">
        <v>447</v>
      </c>
      <c r="I172" s="25" t="str">
        <f t="shared" si="3"/>
        <v>060925304012025</v>
      </c>
      <c r="J172" s="110" t="s">
        <v>527</v>
      </c>
      <c r="K172" s="110" t="s">
        <v>393</v>
      </c>
      <c r="L172" s="110" t="s">
        <v>409</v>
      </c>
      <c r="M172" s="104" t="s">
        <v>393</v>
      </c>
      <c r="N172" s="170">
        <v>45761</v>
      </c>
      <c r="O172" s="105" t="s">
        <v>511</v>
      </c>
      <c r="P172" s="4" t="s">
        <v>62</v>
      </c>
      <c r="Q172" s="4" t="s">
        <v>16</v>
      </c>
      <c r="R172" s="74" t="s">
        <v>1403</v>
      </c>
    </row>
    <row r="173" spans="1:18" hidden="1" x14ac:dyDescent="0.2">
      <c r="A173" s="24" t="s">
        <v>63</v>
      </c>
      <c r="B173" s="5" t="s">
        <v>2</v>
      </c>
      <c r="C173" s="5" t="s">
        <v>30</v>
      </c>
      <c r="D173" s="2" t="s">
        <v>64</v>
      </c>
      <c r="E173" s="4" t="s">
        <v>449</v>
      </c>
      <c r="F173" s="4" t="str">
        <f>VLOOKUP(I173,'Трансп. каталог'!$F$3:$I$743,2,0)</f>
        <v>не позднее 27.06.2025</v>
      </c>
      <c r="G173" s="67">
        <f>VLOOKUP(I173,'Трансп. каталог'!$F$3:$I$743,3,0)</f>
        <v>0</v>
      </c>
      <c r="H173" s="24" t="s">
        <v>450</v>
      </c>
      <c r="I173" s="25" t="str">
        <f t="shared" si="3"/>
        <v>060925304022025</v>
      </c>
      <c r="J173" s="110" t="s">
        <v>578</v>
      </c>
      <c r="K173" s="110" t="s">
        <v>483</v>
      </c>
      <c r="L173" s="110" t="s">
        <v>421</v>
      </c>
      <c r="M173" s="104" t="s">
        <v>483</v>
      </c>
      <c r="N173" s="170" t="s">
        <v>501</v>
      </c>
      <c r="O173" s="105" t="s">
        <v>551</v>
      </c>
      <c r="P173" s="4" t="s">
        <v>62</v>
      </c>
      <c r="Q173" s="4" t="s">
        <v>16</v>
      </c>
      <c r="R173" s="74" t="s">
        <v>1403</v>
      </c>
    </row>
    <row r="174" spans="1:18" hidden="1" x14ac:dyDescent="0.2">
      <c r="A174" s="24" t="s">
        <v>63</v>
      </c>
      <c r="B174" s="5" t="s">
        <v>2</v>
      </c>
      <c r="C174" s="5" t="s">
        <v>30</v>
      </c>
      <c r="D174" s="2" t="s">
        <v>64</v>
      </c>
      <c r="E174" s="4" t="s">
        <v>452</v>
      </c>
      <c r="F174" s="4" t="str">
        <f>VLOOKUP(I174,'Трансп. каталог'!$F$3:$I$743,2,0)</f>
        <v>не позднее 26.09.2025</v>
      </c>
      <c r="G174" s="67">
        <f>VLOOKUP(I174,'Трансп. каталог'!$F$3:$I$743,3,0)</f>
        <v>0</v>
      </c>
      <c r="H174" s="24" t="s">
        <v>453</v>
      </c>
      <c r="I174" s="25" t="str">
        <f t="shared" si="3"/>
        <v>060925304032025</v>
      </c>
      <c r="J174" s="43" t="s">
        <v>539</v>
      </c>
      <c r="K174" s="43" t="s">
        <v>485</v>
      </c>
      <c r="L174" s="43" t="s">
        <v>433</v>
      </c>
      <c r="M174" s="85" t="s">
        <v>485</v>
      </c>
      <c r="N174" s="90" t="s">
        <v>555</v>
      </c>
      <c r="O174" s="90" t="s">
        <v>516</v>
      </c>
      <c r="P174" s="4" t="s">
        <v>62</v>
      </c>
      <c r="Q174" s="4" t="s">
        <v>16</v>
      </c>
      <c r="R174" s="74" t="s">
        <v>1403</v>
      </c>
    </row>
    <row r="175" spans="1:18" hidden="1" x14ac:dyDescent="0.2">
      <c r="A175" s="24" t="s">
        <v>63</v>
      </c>
      <c r="B175" s="5" t="s">
        <v>2</v>
      </c>
      <c r="C175" s="5" t="s">
        <v>30</v>
      </c>
      <c r="D175" s="2" t="s">
        <v>64</v>
      </c>
      <c r="E175" s="4" t="s">
        <v>456</v>
      </c>
      <c r="F175" s="4" t="str">
        <f>VLOOKUP(I175,'Трансп. каталог'!$F$3:$I$743,2,0)</f>
        <v>не позднее 26.12.2025</v>
      </c>
      <c r="G175" s="67">
        <f>VLOOKUP(I175,'Трансп. каталог'!$F$3:$I$743,3,0)</f>
        <v>0</v>
      </c>
      <c r="H175" s="24" t="s">
        <v>457</v>
      </c>
      <c r="I175" s="25" t="str">
        <f t="shared" si="3"/>
        <v>060925304042025</v>
      </c>
      <c r="J175" s="43" t="s">
        <v>507</v>
      </c>
      <c r="K175" s="43" t="s">
        <v>487</v>
      </c>
      <c r="L175" s="43" t="s">
        <v>496</v>
      </c>
      <c r="M175" s="85" t="s">
        <v>487</v>
      </c>
      <c r="N175" s="90" t="s">
        <v>707</v>
      </c>
      <c r="O175" s="90" t="s">
        <v>633</v>
      </c>
      <c r="P175" s="4" t="s">
        <v>62</v>
      </c>
      <c r="Q175" s="4" t="s">
        <v>16</v>
      </c>
      <c r="R175" s="74" t="s">
        <v>1403</v>
      </c>
    </row>
    <row r="176" spans="1:18" hidden="1" x14ac:dyDescent="0.2">
      <c r="A176" s="24" t="s">
        <v>65</v>
      </c>
      <c r="B176" s="5" t="s">
        <v>2</v>
      </c>
      <c r="C176" s="5" t="s">
        <v>30</v>
      </c>
      <c r="D176" s="2" t="s">
        <v>66</v>
      </c>
      <c r="E176" s="4" t="s">
        <v>446</v>
      </c>
      <c r="F176" s="4" t="str">
        <f>VLOOKUP(I176,'Трансп. каталог'!$F$3:$I$743,2,0)</f>
        <v>не позднее 28.03.2025</v>
      </c>
      <c r="G176" s="67">
        <f>VLOOKUP(I176,'Трансп. каталог'!$F$3:$I$743,3,0)</f>
        <v>0</v>
      </c>
      <c r="H176" s="24" t="s">
        <v>447</v>
      </c>
      <c r="I176" s="25" t="str">
        <f t="shared" si="3"/>
        <v>060925504012025</v>
      </c>
      <c r="J176" s="110" t="s">
        <v>671</v>
      </c>
      <c r="K176" s="110" t="s">
        <v>393</v>
      </c>
      <c r="L176" s="110" t="s">
        <v>409</v>
      </c>
      <c r="M176" s="162">
        <v>45748</v>
      </c>
      <c r="N176" s="171" t="s">
        <v>461</v>
      </c>
      <c r="O176" s="171" t="s">
        <v>527</v>
      </c>
      <c r="P176" s="4" t="s">
        <v>59</v>
      </c>
      <c r="Q176" s="4" t="s">
        <v>16</v>
      </c>
      <c r="R176" s="74"/>
    </row>
    <row r="177" spans="1:18" hidden="1" x14ac:dyDescent="0.2">
      <c r="A177" s="24" t="s">
        <v>65</v>
      </c>
      <c r="B177" s="5" t="s">
        <v>2</v>
      </c>
      <c r="C177" s="5" t="s">
        <v>30</v>
      </c>
      <c r="D177" s="2" t="s">
        <v>66</v>
      </c>
      <c r="E177" s="4" t="s">
        <v>449</v>
      </c>
      <c r="F177" s="4" t="str">
        <f>VLOOKUP(I177,'Трансп. каталог'!$F$3:$I$743,2,0)</f>
        <v>не позднее 27.06.2025</v>
      </c>
      <c r="G177" s="67">
        <f>VLOOKUP(I177,'Трансп. каталог'!$F$3:$I$743,3,0)</f>
        <v>0</v>
      </c>
      <c r="H177" s="24" t="s">
        <v>450</v>
      </c>
      <c r="I177" s="25" t="str">
        <f t="shared" si="3"/>
        <v>060925504022025</v>
      </c>
      <c r="J177" s="110" t="s">
        <v>533</v>
      </c>
      <c r="K177" s="110" t="s">
        <v>483</v>
      </c>
      <c r="L177" s="110" t="s">
        <v>421</v>
      </c>
      <c r="M177" s="162" t="s">
        <v>483</v>
      </c>
      <c r="N177" s="171" t="s">
        <v>615</v>
      </c>
      <c r="O177" s="171" t="s">
        <v>578</v>
      </c>
      <c r="P177" s="4" t="s">
        <v>59</v>
      </c>
      <c r="Q177" s="4" t="s">
        <v>16</v>
      </c>
      <c r="R177" s="74"/>
    </row>
    <row r="178" spans="1:18" hidden="1" x14ac:dyDescent="0.2">
      <c r="A178" s="27" t="s">
        <v>65</v>
      </c>
      <c r="B178" s="28" t="s">
        <v>2</v>
      </c>
      <c r="C178" s="28" t="s">
        <v>30</v>
      </c>
      <c r="D178" s="2" t="s">
        <v>66</v>
      </c>
      <c r="E178" s="26" t="s">
        <v>452</v>
      </c>
      <c r="F178" s="26" t="str">
        <f>VLOOKUP(I178,'Трансп. каталог'!$F$3:$I$743,2,0)</f>
        <v>не позднее 26.09.2025</v>
      </c>
      <c r="G178" s="68">
        <f>VLOOKUP(I178,'Трансп. каталог'!$F$3:$I$743,3,0)</f>
        <v>0</v>
      </c>
      <c r="H178" s="27" t="s">
        <v>453</v>
      </c>
      <c r="I178" s="29" t="str">
        <f t="shared" si="3"/>
        <v>060925504032025</v>
      </c>
      <c r="J178" s="44" t="s">
        <v>674</v>
      </c>
      <c r="K178" s="44" t="s">
        <v>485</v>
      </c>
      <c r="L178" s="44" t="s">
        <v>433</v>
      </c>
      <c r="M178" s="86" t="s">
        <v>485</v>
      </c>
      <c r="N178" s="91" t="s">
        <v>616</v>
      </c>
      <c r="O178" s="91" t="s">
        <v>539</v>
      </c>
      <c r="P178" s="26" t="s">
        <v>59</v>
      </c>
      <c r="Q178" s="26" t="s">
        <v>16</v>
      </c>
      <c r="R178" s="74"/>
    </row>
    <row r="179" spans="1:18" hidden="1" x14ac:dyDescent="0.2">
      <c r="A179" s="18" t="s">
        <v>65</v>
      </c>
      <c r="B179" s="3" t="s">
        <v>2</v>
      </c>
      <c r="C179" s="3" t="s">
        <v>30</v>
      </c>
      <c r="D179" s="2" t="s">
        <v>66</v>
      </c>
      <c r="E179" s="2" t="s">
        <v>456</v>
      </c>
      <c r="F179" s="2" t="str">
        <f>VLOOKUP(I179,'Трансп. каталог'!$F$3:$I$743,2,0)</f>
        <v>не позднее 26.12.2025</v>
      </c>
      <c r="G179" s="65">
        <f>VLOOKUP(I179,'Трансп. каталог'!$F$3:$I$743,3,0)</f>
        <v>0</v>
      </c>
      <c r="H179" s="18" t="s">
        <v>457</v>
      </c>
      <c r="I179" s="19" t="str">
        <f t="shared" si="3"/>
        <v>060925504042025</v>
      </c>
      <c r="J179" s="41" t="s">
        <v>665</v>
      </c>
      <c r="K179" s="41" t="s">
        <v>487</v>
      </c>
      <c r="L179" s="41" t="s">
        <v>496</v>
      </c>
      <c r="M179" s="83" t="s">
        <v>487</v>
      </c>
      <c r="N179" s="88" t="s">
        <v>507</v>
      </c>
      <c r="O179" s="88" t="s">
        <v>1392</v>
      </c>
      <c r="P179" s="2" t="s">
        <v>59</v>
      </c>
      <c r="Q179" s="2" t="s">
        <v>16</v>
      </c>
      <c r="R179" s="74"/>
    </row>
    <row r="180" spans="1:18" hidden="1" x14ac:dyDescent="0.2">
      <c r="A180" s="21" t="s">
        <v>277</v>
      </c>
      <c r="B180" s="22" t="s">
        <v>2</v>
      </c>
      <c r="C180" s="22" t="s">
        <v>30</v>
      </c>
      <c r="D180" s="2" t="s">
        <v>278</v>
      </c>
      <c r="E180" s="20">
        <v>2024</v>
      </c>
      <c r="F180" s="20" t="e">
        <f>VLOOKUP(I180,'Трансп. каталог'!$F$3:$I$743,2,0)</f>
        <v>#N/A</v>
      </c>
      <c r="G180" s="66" t="e">
        <f>VLOOKUP(I180,'Трансп. каталог'!$F$3:$I$743,3,0)</f>
        <v>#N/A</v>
      </c>
      <c r="H180" s="21" t="s">
        <v>392</v>
      </c>
      <c r="I180" s="23" t="str">
        <f t="shared" si="3"/>
        <v>060930201012024</v>
      </c>
      <c r="J180" s="93" t="s">
        <v>521</v>
      </c>
      <c r="K180" s="93" t="s">
        <v>659</v>
      </c>
      <c r="L180" s="93" t="s">
        <v>409</v>
      </c>
      <c r="M180" s="102" t="s">
        <v>659</v>
      </c>
      <c r="N180" s="103" t="s">
        <v>591</v>
      </c>
      <c r="O180" s="103" t="s">
        <v>499</v>
      </c>
      <c r="P180" s="20" t="s">
        <v>279</v>
      </c>
      <c r="Q180" s="20" t="s">
        <v>33</v>
      </c>
      <c r="R180" s="74"/>
    </row>
    <row r="181" spans="1:18" hidden="1" x14ac:dyDescent="0.2">
      <c r="A181" s="24" t="s">
        <v>299</v>
      </c>
      <c r="B181" s="5" t="s">
        <v>2</v>
      </c>
      <c r="C181" s="5" t="s">
        <v>30</v>
      </c>
      <c r="D181" s="2" t="s">
        <v>300</v>
      </c>
      <c r="E181" s="4">
        <v>2024</v>
      </c>
      <c r="F181" s="4" t="e">
        <f>VLOOKUP(I181,'Трансп. каталог'!$F$3:$I$743,2,0)</f>
        <v>#N/A</v>
      </c>
      <c r="G181" s="67" t="e">
        <f>VLOOKUP(I181,'Трансп. каталог'!$F$3:$I$743,3,0)</f>
        <v>#N/A</v>
      </c>
      <c r="H181" s="24" t="s">
        <v>392</v>
      </c>
      <c r="I181" s="25" t="str">
        <f t="shared" si="3"/>
        <v>060930401012024</v>
      </c>
      <c r="J181" s="110" t="s">
        <v>670</v>
      </c>
      <c r="K181" s="110" t="s">
        <v>611</v>
      </c>
      <c r="L181" s="110" t="s">
        <v>405</v>
      </c>
      <c r="M181" s="104" t="s">
        <v>611</v>
      </c>
      <c r="N181" s="105" t="s">
        <v>471</v>
      </c>
      <c r="O181" s="105" t="s">
        <v>401</v>
      </c>
      <c r="P181" s="4" t="s">
        <v>301</v>
      </c>
      <c r="Q181" s="4" t="s">
        <v>33</v>
      </c>
      <c r="R181" s="74"/>
    </row>
    <row r="182" spans="1:18" hidden="1" x14ac:dyDescent="0.2">
      <c r="A182" s="24" t="s">
        <v>110</v>
      </c>
      <c r="B182" s="5" t="s">
        <v>2</v>
      </c>
      <c r="C182" s="5" t="s">
        <v>3</v>
      </c>
      <c r="D182" s="2" t="s">
        <v>111</v>
      </c>
      <c r="E182" s="4">
        <v>2024</v>
      </c>
      <c r="F182" s="4" t="str">
        <f>VLOOKUP(I182,'Трансп. каталог'!$F$3:$I$743,2,0)</f>
        <v>не позднее 28.12.2024</v>
      </c>
      <c r="G182" s="67" t="str">
        <f>VLOOKUP(I182,'Трансп. каталог'!$F$3:$I$743,3,0)</f>
        <v>с 1-го января по 1-е февраля
после отчетного периода 
(в случае сезонного функционирования  – по его окончании)</v>
      </c>
      <c r="H182" s="24" t="s">
        <v>392</v>
      </c>
      <c r="I182" s="25" t="str">
        <f t="shared" si="3"/>
        <v>060940001012024</v>
      </c>
      <c r="J182" s="110" t="s">
        <v>509</v>
      </c>
      <c r="K182" s="110" t="s">
        <v>462</v>
      </c>
      <c r="L182" s="110" t="s">
        <v>610</v>
      </c>
      <c r="M182" s="104" t="s">
        <v>462</v>
      </c>
      <c r="N182" s="105" t="s">
        <v>470</v>
      </c>
      <c r="O182" s="105" t="s">
        <v>397</v>
      </c>
      <c r="P182" s="4" t="s">
        <v>112</v>
      </c>
      <c r="Q182" s="4" t="s">
        <v>6</v>
      </c>
      <c r="R182" s="74">
        <f>VLOOKUP(I182,'Трансп. каталог'!$F$3:$I$743,4,0)</f>
        <v>0</v>
      </c>
    </row>
    <row r="183" spans="1:18" hidden="1" x14ac:dyDescent="0.2">
      <c r="A183" s="24" t="s">
        <v>107</v>
      </c>
      <c r="B183" s="5" t="s">
        <v>2</v>
      </c>
      <c r="C183" s="5" t="s">
        <v>30</v>
      </c>
      <c r="D183" s="2" t="s">
        <v>108</v>
      </c>
      <c r="E183" s="4" t="s">
        <v>395</v>
      </c>
      <c r="F183" s="4" t="str">
        <f>VLOOKUP(I183,'Трансп. каталог'!$F$3:$I$743,2,0)</f>
        <v>не позднее 29.01.2025</v>
      </c>
      <c r="G183" s="67">
        <f>VLOOKUP(I183,'Трансп. каталог'!$F$3:$I$743,3,0)</f>
        <v>0</v>
      </c>
      <c r="H183" s="24" t="s">
        <v>396</v>
      </c>
      <c r="I183" s="25" t="str">
        <f t="shared" si="3"/>
        <v>060940712012025</v>
      </c>
      <c r="J183" s="110" t="s">
        <v>620</v>
      </c>
      <c r="K183" s="110" t="s">
        <v>397</v>
      </c>
      <c r="L183" s="110" t="s">
        <v>463</v>
      </c>
      <c r="M183" s="104" t="s">
        <v>397</v>
      </c>
      <c r="N183" s="105" t="s">
        <v>398</v>
      </c>
      <c r="O183" s="105" t="s">
        <v>589</v>
      </c>
      <c r="P183" s="4" t="s">
        <v>109</v>
      </c>
      <c r="Q183" s="4" t="s">
        <v>10</v>
      </c>
      <c r="R183" s="74" t="s">
        <v>1403</v>
      </c>
    </row>
    <row r="184" spans="1:18" hidden="1" x14ac:dyDescent="0.2">
      <c r="A184" s="24" t="s">
        <v>107</v>
      </c>
      <c r="B184" s="5" t="s">
        <v>2</v>
      </c>
      <c r="C184" s="5" t="s">
        <v>30</v>
      </c>
      <c r="D184" s="2" t="s">
        <v>108</v>
      </c>
      <c r="E184" s="4" t="s">
        <v>399</v>
      </c>
      <c r="F184" s="4" t="str">
        <f>VLOOKUP(I184,'Трансп. каталог'!$F$3:$I$743,2,0)</f>
        <v>не позднее 21.02.2025</v>
      </c>
      <c r="G184" s="67">
        <f>VLOOKUP(I184,'Трансп. каталог'!$F$3:$I$743,3,0)</f>
        <v>0</v>
      </c>
      <c r="H184" s="24" t="s">
        <v>400</v>
      </c>
      <c r="I184" s="25" t="str">
        <f t="shared" si="3"/>
        <v>060940712022025</v>
      </c>
      <c r="J184" s="110" t="s">
        <v>622</v>
      </c>
      <c r="K184" s="110" t="s">
        <v>401</v>
      </c>
      <c r="L184" s="110" t="s">
        <v>605</v>
      </c>
      <c r="M184" s="104" t="s">
        <v>401</v>
      </c>
      <c r="N184" s="105" t="s">
        <v>402</v>
      </c>
      <c r="O184" s="105" t="s">
        <v>590</v>
      </c>
      <c r="P184" s="4" t="s">
        <v>109</v>
      </c>
      <c r="Q184" s="4" t="s">
        <v>10</v>
      </c>
      <c r="R184" s="74" t="s">
        <v>1403</v>
      </c>
    </row>
    <row r="185" spans="1:18" hidden="1" x14ac:dyDescent="0.2">
      <c r="A185" s="24" t="s">
        <v>107</v>
      </c>
      <c r="B185" s="5" t="s">
        <v>2</v>
      </c>
      <c r="C185" s="5" t="s">
        <v>30</v>
      </c>
      <c r="D185" s="2" t="s">
        <v>108</v>
      </c>
      <c r="E185" s="4" t="s">
        <v>403</v>
      </c>
      <c r="F185" s="4" t="str">
        <f>VLOOKUP(I185,'Трансп. каталог'!$F$3:$I$743,2,0)</f>
        <v>не позднее 28.03.2025</v>
      </c>
      <c r="G185" s="67">
        <f>VLOOKUP(I185,'Трансп. каталог'!$F$3:$I$743,3,0)</f>
        <v>0</v>
      </c>
      <c r="H185" s="24" t="s">
        <v>404</v>
      </c>
      <c r="I185" s="25" t="str">
        <f t="shared" si="3"/>
        <v>060940712032025</v>
      </c>
      <c r="J185" s="110" t="s">
        <v>591</v>
      </c>
      <c r="K185" s="110" t="s">
        <v>405</v>
      </c>
      <c r="L185" s="110" t="s">
        <v>547</v>
      </c>
      <c r="M185" s="139">
        <v>45747</v>
      </c>
      <c r="N185" s="105" t="s">
        <v>710</v>
      </c>
      <c r="O185" s="105" t="s">
        <v>570</v>
      </c>
      <c r="P185" s="4" t="s">
        <v>109</v>
      </c>
      <c r="Q185" s="4" t="s">
        <v>10</v>
      </c>
      <c r="R185" s="74" t="s">
        <v>1403</v>
      </c>
    </row>
    <row r="186" spans="1:18" hidden="1" x14ac:dyDescent="0.2">
      <c r="A186" s="24" t="s">
        <v>107</v>
      </c>
      <c r="B186" s="5" t="s">
        <v>2</v>
      </c>
      <c r="C186" s="5" t="s">
        <v>30</v>
      </c>
      <c r="D186" s="2" t="s">
        <v>108</v>
      </c>
      <c r="E186" s="4" t="s">
        <v>407</v>
      </c>
      <c r="F186" s="4" t="str">
        <f>VLOOKUP(I186,'Трансп. каталог'!$F$3:$I$743,2,0)</f>
        <v>не позднее 29.04.2025</v>
      </c>
      <c r="G186" s="67">
        <f>VLOOKUP(I186,'Трансп. каталог'!$F$3:$I$743,3,0)</f>
        <v>0</v>
      </c>
      <c r="H186" s="24" t="s">
        <v>408</v>
      </c>
      <c r="I186" s="25" t="str">
        <f t="shared" si="3"/>
        <v>060940712042025</v>
      </c>
      <c r="J186" s="110" t="s">
        <v>711</v>
      </c>
      <c r="K186" s="110" t="s">
        <v>409</v>
      </c>
      <c r="L186" s="110" t="s">
        <v>592</v>
      </c>
      <c r="M186" s="139" t="s">
        <v>409</v>
      </c>
      <c r="N186" s="105" t="s">
        <v>603</v>
      </c>
      <c r="O186" s="105" t="s">
        <v>410</v>
      </c>
      <c r="P186" s="4" t="s">
        <v>109</v>
      </c>
      <c r="Q186" s="4" t="s">
        <v>10</v>
      </c>
      <c r="R186" s="74" t="s">
        <v>1403</v>
      </c>
    </row>
    <row r="187" spans="1:18" hidden="1" x14ac:dyDescent="0.2">
      <c r="A187" s="24" t="s">
        <v>107</v>
      </c>
      <c r="B187" s="5" t="s">
        <v>2</v>
      </c>
      <c r="C187" s="5" t="s">
        <v>30</v>
      </c>
      <c r="D187" s="2" t="s">
        <v>108</v>
      </c>
      <c r="E187" s="4" t="s">
        <v>411</v>
      </c>
      <c r="F187" s="4" t="str">
        <f>VLOOKUP(I187,'Трансп. каталог'!$F$3:$I$743,2,0)</f>
        <v>не позднее 28.05.2025</v>
      </c>
      <c r="G187" s="67">
        <f>VLOOKUP(I187,'Трансп. каталог'!$F$3:$I$743,3,0)</f>
        <v>0</v>
      </c>
      <c r="H187" s="24" t="s">
        <v>412</v>
      </c>
      <c r="I187" s="25" t="str">
        <f t="shared" si="3"/>
        <v>060940712052025</v>
      </c>
      <c r="J187" s="110" t="s">
        <v>625</v>
      </c>
      <c r="K187" s="110" t="s">
        <v>413</v>
      </c>
      <c r="L187" s="110" t="s">
        <v>512</v>
      </c>
      <c r="M187" s="139" t="s">
        <v>413</v>
      </c>
      <c r="N187" s="105" t="s">
        <v>712</v>
      </c>
      <c r="O187" s="105" t="s">
        <v>593</v>
      </c>
      <c r="P187" s="4" t="s">
        <v>109</v>
      </c>
      <c r="Q187" s="4" t="s">
        <v>10</v>
      </c>
      <c r="R187" s="74" t="s">
        <v>1403</v>
      </c>
    </row>
    <row r="188" spans="1:18" hidden="1" x14ac:dyDescent="0.2">
      <c r="A188" s="24" t="s">
        <v>107</v>
      </c>
      <c r="B188" s="5" t="s">
        <v>2</v>
      </c>
      <c r="C188" s="5" t="s">
        <v>30</v>
      </c>
      <c r="D188" s="2" t="s">
        <v>108</v>
      </c>
      <c r="E188" s="4" t="s">
        <v>415</v>
      </c>
      <c r="F188" s="4" t="str">
        <f>VLOOKUP(I188,'Трансп. каталог'!$F$3:$I$743,2,0)</f>
        <v>не позднее 27.06.2025</v>
      </c>
      <c r="G188" s="67">
        <f>VLOOKUP(I188,'Трансп. каталог'!$F$3:$I$743,3,0)</f>
        <v>0</v>
      </c>
      <c r="H188" s="24" t="s">
        <v>416</v>
      </c>
      <c r="I188" s="25" t="str">
        <f t="shared" si="3"/>
        <v>060940712062025</v>
      </c>
      <c r="J188" s="110" t="s">
        <v>595</v>
      </c>
      <c r="K188" s="110" t="s">
        <v>417</v>
      </c>
      <c r="L188" s="110" t="s">
        <v>551</v>
      </c>
      <c r="M188" s="139" t="s">
        <v>417</v>
      </c>
      <c r="N188" s="105" t="s">
        <v>418</v>
      </c>
      <c r="O188" s="105" t="s">
        <v>572</v>
      </c>
      <c r="P188" s="4" t="s">
        <v>109</v>
      </c>
      <c r="Q188" s="4" t="s">
        <v>10</v>
      </c>
      <c r="R188" s="74" t="s">
        <v>1403</v>
      </c>
    </row>
    <row r="189" spans="1:18" hidden="1" x14ac:dyDescent="0.2">
      <c r="A189" s="24" t="s">
        <v>107</v>
      </c>
      <c r="B189" s="5" t="s">
        <v>2</v>
      </c>
      <c r="C189" s="5" t="s">
        <v>30</v>
      </c>
      <c r="D189" s="2" t="s">
        <v>108</v>
      </c>
      <c r="E189" s="4" t="s">
        <v>419</v>
      </c>
      <c r="F189" s="4" t="str">
        <f>VLOOKUP(I189,'Трансп. каталог'!$F$3:$I$743,2,0)</f>
        <v>не позднее 29.07.2025</v>
      </c>
      <c r="G189" s="67">
        <f>VLOOKUP(I189,'Трансп. каталог'!$F$3:$I$743,3,0)</f>
        <v>0</v>
      </c>
      <c r="H189" s="24" t="s">
        <v>420</v>
      </c>
      <c r="I189" s="25" t="str">
        <f t="shared" si="3"/>
        <v>060940712072025</v>
      </c>
      <c r="J189" s="110" t="s">
        <v>694</v>
      </c>
      <c r="K189" s="110" t="s">
        <v>421</v>
      </c>
      <c r="L189" s="110" t="s">
        <v>606</v>
      </c>
      <c r="M189" s="85" t="s">
        <v>421</v>
      </c>
      <c r="N189" s="90" t="s">
        <v>422</v>
      </c>
      <c r="O189" s="90" t="s">
        <v>597</v>
      </c>
      <c r="P189" s="4" t="s">
        <v>109</v>
      </c>
      <c r="Q189" s="4" t="s">
        <v>10</v>
      </c>
      <c r="R189" s="74" t="s">
        <v>1403</v>
      </c>
    </row>
    <row r="190" spans="1:18" hidden="1" x14ac:dyDescent="0.2">
      <c r="A190" s="27" t="s">
        <v>107</v>
      </c>
      <c r="B190" s="28" t="s">
        <v>2</v>
      </c>
      <c r="C190" s="28" t="s">
        <v>30</v>
      </c>
      <c r="D190" s="2" t="s">
        <v>108</v>
      </c>
      <c r="E190" s="26" t="s">
        <v>423</v>
      </c>
      <c r="F190" s="26" t="str">
        <f>VLOOKUP(I190,'Трансп. каталог'!$F$3:$I$743,2,0)</f>
        <v>не позднее 29.08.2025</v>
      </c>
      <c r="G190" s="68">
        <f>VLOOKUP(I190,'Трансп. каталог'!$F$3:$I$743,3,0)</f>
        <v>0</v>
      </c>
      <c r="H190" s="27" t="s">
        <v>424</v>
      </c>
      <c r="I190" s="29" t="str">
        <f t="shared" si="3"/>
        <v>060940712082025</v>
      </c>
      <c r="J190" s="44" t="s">
        <v>629</v>
      </c>
      <c r="K190" s="44" t="s">
        <v>607</v>
      </c>
      <c r="L190" s="44" t="s">
        <v>560</v>
      </c>
      <c r="M190" s="86" t="s">
        <v>607</v>
      </c>
      <c r="N190" s="91" t="s">
        <v>714</v>
      </c>
      <c r="O190" s="91" t="s">
        <v>598</v>
      </c>
      <c r="P190" s="26" t="s">
        <v>109</v>
      </c>
      <c r="Q190" s="26" t="s">
        <v>10</v>
      </c>
      <c r="R190" s="74" t="s">
        <v>1403</v>
      </c>
    </row>
    <row r="191" spans="1:18" hidden="1" x14ac:dyDescent="0.2">
      <c r="A191" s="18" t="s">
        <v>107</v>
      </c>
      <c r="B191" s="3" t="s">
        <v>2</v>
      </c>
      <c r="C191" s="3" t="s">
        <v>30</v>
      </c>
      <c r="D191" s="2" t="s">
        <v>108</v>
      </c>
      <c r="E191" s="2" t="s">
        <v>427</v>
      </c>
      <c r="F191" s="2" t="str">
        <f>VLOOKUP(I191,'Трансп. каталог'!$F$3:$I$743,2,0)</f>
        <v>не позднее 26.09.2025</v>
      </c>
      <c r="G191" s="65">
        <f>VLOOKUP(I191,'Трансп. каталог'!$F$3:$I$743,3,0)</f>
        <v>0</v>
      </c>
      <c r="H191" s="18" t="s">
        <v>428</v>
      </c>
      <c r="I191" s="19" t="str">
        <f t="shared" si="3"/>
        <v>060940712092025</v>
      </c>
      <c r="J191" s="41" t="s">
        <v>600</v>
      </c>
      <c r="K191" s="41" t="s">
        <v>429</v>
      </c>
      <c r="L191" s="41" t="s">
        <v>555</v>
      </c>
      <c r="M191" s="83" t="s">
        <v>429</v>
      </c>
      <c r="N191" s="88" t="s">
        <v>485</v>
      </c>
      <c r="O191" s="88" t="s">
        <v>715</v>
      </c>
      <c r="P191" s="2" t="s">
        <v>109</v>
      </c>
      <c r="Q191" s="2" t="s">
        <v>10</v>
      </c>
      <c r="R191" s="74" t="s">
        <v>1403</v>
      </c>
    </row>
    <row r="192" spans="1:18" hidden="1" x14ac:dyDescent="0.2">
      <c r="A192" s="21" t="s">
        <v>107</v>
      </c>
      <c r="B192" s="22" t="s">
        <v>2</v>
      </c>
      <c r="C192" s="22" t="s">
        <v>30</v>
      </c>
      <c r="D192" s="2" t="s">
        <v>108</v>
      </c>
      <c r="E192" s="20" t="s">
        <v>431</v>
      </c>
      <c r="F192" s="20" t="str">
        <f>VLOOKUP(I192,'Трансп. каталог'!$F$3:$I$743,2,0)</f>
        <v>не позднее 29.10.2025</v>
      </c>
      <c r="G192" s="66">
        <f>VLOOKUP(I192,'Трансп. каталог'!$F$3:$I$743,3,0)</f>
        <v>0</v>
      </c>
      <c r="H192" s="21" t="s">
        <v>432</v>
      </c>
      <c r="I192" s="23" t="str">
        <f t="shared" si="3"/>
        <v>060940712102025</v>
      </c>
      <c r="J192" s="42" t="s">
        <v>631</v>
      </c>
      <c r="K192" s="42" t="s">
        <v>433</v>
      </c>
      <c r="L192" s="42" t="s">
        <v>518</v>
      </c>
      <c r="M192" s="84" t="s">
        <v>433</v>
      </c>
      <c r="N192" s="89" t="s">
        <v>556</v>
      </c>
      <c r="O192" s="89" t="s">
        <v>602</v>
      </c>
      <c r="P192" s="20" t="s">
        <v>109</v>
      </c>
      <c r="Q192" s="20" t="s">
        <v>10</v>
      </c>
      <c r="R192" s="74" t="s">
        <v>1403</v>
      </c>
    </row>
    <row r="193" spans="1:18" hidden="1" x14ac:dyDescent="0.2">
      <c r="A193" s="24" t="s">
        <v>107</v>
      </c>
      <c r="B193" s="5" t="s">
        <v>2</v>
      </c>
      <c r="C193" s="5" t="s">
        <v>30</v>
      </c>
      <c r="D193" s="2" t="s">
        <v>108</v>
      </c>
      <c r="E193" s="4" t="s">
        <v>435</v>
      </c>
      <c r="F193" s="4" t="str">
        <f>VLOOKUP(I193,'Трансп. каталог'!$F$3:$I$743,2,0)</f>
        <v>не позднее 28.11.2025</v>
      </c>
      <c r="G193" s="67">
        <f>VLOOKUP(I193,'Трансп. каталог'!$F$3:$I$743,3,0)</f>
        <v>0</v>
      </c>
      <c r="H193" s="24" t="s">
        <v>436</v>
      </c>
      <c r="I193" s="25" t="str">
        <f t="shared" si="3"/>
        <v>060940712112025</v>
      </c>
      <c r="J193" s="43" t="s">
        <v>632</v>
      </c>
      <c r="K193" s="43" t="s">
        <v>608</v>
      </c>
      <c r="L193" s="43" t="s">
        <v>563</v>
      </c>
      <c r="M193" s="85" t="s">
        <v>608</v>
      </c>
      <c r="N193" s="90" t="s">
        <v>716</v>
      </c>
      <c r="O193" s="90" t="s">
        <v>599</v>
      </c>
      <c r="P193" s="4" t="s">
        <v>109</v>
      </c>
      <c r="Q193" s="4" t="s">
        <v>10</v>
      </c>
      <c r="R193" s="74" t="s">
        <v>1403</v>
      </c>
    </row>
    <row r="194" spans="1:18" hidden="1" x14ac:dyDescent="0.2">
      <c r="A194" s="24" t="s">
        <v>107</v>
      </c>
      <c r="B194" s="5" t="s">
        <v>2</v>
      </c>
      <c r="C194" s="5" t="s">
        <v>30</v>
      </c>
      <c r="D194" s="2" t="s">
        <v>108</v>
      </c>
      <c r="E194" s="4" t="s">
        <v>439</v>
      </c>
      <c r="F194" s="4" t="str">
        <f>VLOOKUP(I194,'Трансп. каталог'!$F$3:$I$743,2,0)</f>
        <v>не позднее 26.12.2025</v>
      </c>
      <c r="G194" s="67">
        <f>VLOOKUP(I194,'Трансп. каталог'!$F$3:$I$743,3,0)</f>
        <v>0</v>
      </c>
      <c r="H194" s="24" t="s">
        <v>440</v>
      </c>
      <c r="I194" s="25" t="str">
        <f t="shared" si="3"/>
        <v>060940712122025</v>
      </c>
      <c r="J194" s="43" t="s">
        <v>481</v>
      </c>
      <c r="K194" s="43" t="s">
        <v>481</v>
      </c>
      <c r="L194" s="43" t="s">
        <v>609</v>
      </c>
      <c r="M194" s="85" t="s">
        <v>481</v>
      </c>
      <c r="N194" s="90" t="s">
        <v>1397</v>
      </c>
      <c r="O194" s="90" t="s">
        <v>617</v>
      </c>
      <c r="P194" s="4" t="s">
        <v>109</v>
      </c>
      <c r="Q194" s="4" t="s">
        <v>10</v>
      </c>
      <c r="R194" s="74" t="s">
        <v>1403</v>
      </c>
    </row>
    <row r="195" spans="1:18" hidden="1" x14ac:dyDescent="0.2">
      <c r="A195" s="24" t="s">
        <v>302</v>
      </c>
      <c r="B195" s="5" t="s">
        <v>2</v>
      </c>
      <c r="C195" s="5" t="s">
        <v>3</v>
      </c>
      <c r="D195" s="2" t="s">
        <v>303</v>
      </c>
      <c r="E195" s="4">
        <v>2024</v>
      </c>
      <c r="F195" s="4" t="str">
        <f>VLOOKUP(I195,'Трансп. каталог'!$F$3:$I$743,2,0)</f>
        <v>не позднее 25.12.2024</v>
      </c>
      <c r="G195" s="67" t="str">
        <f>VLOOKUP(I195,'Трансп. каталог'!$F$3:$I$743,3,0)</f>
        <v>с 9 по  24 января после отчетного периода</v>
      </c>
      <c r="H195" s="24" t="s">
        <v>392</v>
      </c>
      <c r="I195" s="25" t="str">
        <f t="shared" si="3"/>
        <v>060950601012024</v>
      </c>
      <c r="J195" s="110" t="s">
        <v>705</v>
      </c>
      <c r="K195" s="110" t="s">
        <v>704</v>
      </c>
      <c r="L195" s="110" t="s">
        <v>544</v>
      </c>
      <c r="M195" s="104" t="s">
        <v>704</v>
      </c>
      <c r="N195" s="105" t="s">
        <v>464</v>
      </c>
      <c r="O195" s="105" t="s">
        <v>1384</v>
      </c>
      <c r="P195" s="4" t="s">
        <v>304</v>
      </c>
      <c r="Q195" s="4" t="s">
        <v>6</v>
      </c>
      <c r="R195" s="74">
        <f>VLOOKUP(I195,'Трансп. каталог'!$F$3:$I$743,4,0)</f>
        <v>0</v>
      </c>
    </row>
    <row r="196" spans="1:18" hidden="1" x14ac:dyDescent="0.2">
      <c r="A196" s="24" t="s">
        <v>266</v>
      </c>
      <c r="B196" s="5" t="s">
        <v>2</v>
      </c>
      <c r="C196" s="5" t="s">
        <v>30</v>
      </c>
      <c r="D196" s="2" t="s">
        <v>267</v>
      </c>
      <c r="E196" s="4" t="s">
        <v>699</v>
      </c>
      <c r="F196" s="4" t="str">
        <f>VLOOKUP(I196,'Трансп. каталог'!$F$3:$I$743,2,0)</f>
        <v>не позднее  22.08.2025</v>
      </c>
      <c r="G196" s="67" t="str">
        <f>VLOOKUP(I196,'Трансп. каталог'!$F$3:$I$743,3,0)</f>
        <v>с 29 июля 
по 8 сентября отчетного периода</v>
      </c>
      <c r="H196" s="140" t="s">
        <v>443</v>
      </c>
      <c r="I196" s="25" t="str">
        <f t="shared" si="3"/>
        <v>060950801012025</v>
      </c>
      <c r="J196" s="110" t="s">
        <v>629</v>
      </c>
      <c r="K196" s="110" t="s">
        <v>552</v>
      </c>
      <c r="L196" s="110" t="s">
        <v>429</v>
      </c>
      <c r="M196" s="85" t="s">
        <v>552</v>
      </c>
      <c r="N196" s="90" t="s">
        <v>714</v>
      </c>
      <c r="O196" s="90" t="s">
        <v>598</v>
      </c>
      <c r="P196" s="4" t="s">
        <v>268</v>
      </c>
      <c r="Q196" s="4" t="s">
        <v>33</v>
      </c>
      <c r="R196" s="74">
        <f>VLOOKUP(I196,'Трансп. каталог'!$F$3:$I$743,4,0)</f>
        <v>0</v>
      </c>
    </row>
    <row r="197" spans="1:18" hidden="1" x14ac:dyDescent="0.2">
      <c r="A197" s="24" t="s">
        <v>263</v>
      </c>
      <c r="B197" s="5" t="s">
        <v>2</v>
      </c>
      <c r="C197" s="5" t="s">
        <v>3</v>
      </c>
      <c r="D197" s="2" t="s">
        <v>264</v>
      </c>
      <c r="E197" s="4">
        <v>2024</v>
      </c>
      <c r="F197" s="4" t="str">
        <f>VLOOKUP(I197,'Трансп. каталог'!$F$3:$I$743,2,0)</f>
        <v>не позднее 27.12.2024</v>
      </c>
      <c r="G197" s="67" t="str">
        <f>VLOOKUP(I197,'Трансп. каталог'!$F$3:$I$743,3,0)</f>
        <v>с 9 по 31 января после отчетного периода</v>
      </c>
      <c r="H197" s="24" t="s">
        <v>392</v>
      </c>
      <c r="I197" s="25" t="str">
        <f t="shared" si="3"/>
        <v>060956501012024</v>
      </c>
      <c r="J197" s="110" t="s">
        <v>397</v>
      </c>
      <c r="K197" s="110" t="s">
        <v>614</v>
      </c>
      <c r="L197" s="110" t="s">
        <v>471</v>
      </c>
      <c r="M197" s="139">
        <v>45666</v>
      </c>
      <c r="N197" s="105" t="s">
        <v>1381</v>
      </c>
      <c r="O197" s="105" t="s">
        <v>508</v>
      </c>
      <c r="P197" s="4" t="s">
        <v>265</v>
      </c>
      <c r="Q197" s="4" t="s">
        <v>6</v>
      </c>
      <c r="R197" s="74">
        <f>VLOOKUP(I197,'Трансп. каталог'!$F$3:$I$743,4,0)</f>
        <v>0</v>
      </c>
    </row>
    <row r="198" spans="1:18" hidden="1" x14ac:dyDescent="0.2">
      <c r="A198" s="24" t="s">
        <v>131</v>
      </c>
      <c r="B198" s="5" t="s">
        <v>12</v>
      </c>
      <c r="C198" s="5" t="s">
        <v>3</v>
      </c>
      <c r="D198" s="2" t="s">
        <v>132</v>
      </c>
      <c r="E198" s="4" t="s">
        <v>635</v>
      </c>
      <c r="F198" s="4" t="str">
        <f>VLOOKUP(I198,'Трансп. каталог'!$F$3:$I$743,2,0)</f>
        <v>не позднее 28.12.2024</v>
      </c>
      <c r="G198" s="67" t="str">
        <f>VLOOKUP(I198,'Трансп. каталог'!$F$3:$I$743,3,0)</f>
        <v>с 1 февраля 
по 1 марта после отчетного периода</v>
      </c>
      <c r="H198" s="24" t="s">
        <v>392</v>
      </c>
      <c r="I198" s="25" t="str">
        <f t="shared" si="3"/>
        <v>060970301012024</v>
      </c>
      <c r="J198" s="110" t="s">
        <v>670</v>
      </c>
      <c r="K198" s="110" t="s">
        <v>509</v>
      </c>
      <c r="L198" s="110" t="s">
        <v>591</v>
      </c>
      <c r="M198" s="104" t="s">
        <v>509</v>
      </c>
      <c r="N198" s="105" t="s">
        <v>471</v>
      </c>
      <c r="O198" s="105" t="s">
        <v>401</v>
      </c>
      <c r="P198" s="4" t="s">
        <v>133</v>
      </c>
      <c r="Q198" s="4" t="s">
        <v>10</v>
      </c>
      <c r="R198" s="74">
        <f>VLOOKUP(I198,'Трансп. каталог'!$F$3:$I$743,4,0)</f>
        <v>0</v>
      </c>
    </row>
    <row r="199" spans="1:18" hidden="1" x14ac:dyDescent="0.2">
      <c r="A199" s="24" t="s">
        <v>128</v>
      </c>
      <c r="B199" s="5" t="s">
        <v>2</v>
      </c>
      <c r="C199" s="5" t="s">
        <v>30</v>
      </c>
      <c r="D199" s="2" t="s">
        <v>129</v>
      </c>
      <c r="E199" s="4">
        <v>2024</v>
      </c>
      <c r="F199" s="4" t="str">
        <f>VLOOKUP(I199,'Трансп. каталог'!$F$3:$I$743,2,0)</f>
        <v>не позднее 28.12.2024</v>
      </c>
      <c r="G199" s="67" t="str">
        <f>VLOOKUP(I199,'Трансп. каталог'!$F$3:$I$743,3,0)</f>
        <v>с 1-го февраля по 1-е апреля
после отчетного периода</v>
      </c>
      <c r="H199" s="24" t="s">
        <v>392</v>
      </c>
      <c r="I199" s="25" t="str">
        <f t="shared" si="3"/>
        <v>060970601012024</v>
      </c>
      <c r="J199" s="110" t="s">
        <v>406</v>
      </c>
      <c r="K199" s="110" t="s">
        <v>509</v>
      </c>
      <c r="L199" s="110" t="s">
        <v>410</v>
      </c>
      <c r="M199" s="104" t="s">
        <v>509</v>
      </c>
      <c r="N199" s="105" t="s">
        <v>405</v>
      </c>
      <c r="O199" s="105" t="s">
        <v>393</v>
      </c>
      <c r="P199" s="4" t="s">
        <v>130</v>
      </c>
      <c r="Q199" s="4" t="s">
        <v>78</v>
      </c>
      <c r="R199" s="74">
        <f>VLOOKUP(I199,'Трансп. каталог'!$F$3:$I$743,4,0)</f>
        <v>0</v>
      </c>
    </row>
    <row r="200" spans="1:18" x14ac:dyDescent="0.2">
      <c r="A200" s="24" t="s">
        <v>381</v>
      </c>
      <c r="B200" s="5" t="s">
        <v>12</v>
      </c>
      <c r="C200" s="5" t="s">
        <v>30</v>
      </c>
      <c r="D200" s="2" t="s">
        <v>382</v>
      </c>
      <c r="E200" s="4" t="s">
        <v>395</v>
      </c>
      <c r="F200" s="4" t="str">
        <f>VLOOKUP(I200,'Трансп. каталог'!$F$3:$I$743,2,0)</f>
        <v>не позднее 31.01.2025</v>
      </c>
      <c r="G200" s="67">
        <f>VLOOKUP(I200,'Трансп. каталог'!$F$3:$I$743,3,0)</f>
        <v>0</v>
      </c>
      <c r="H200" s="24" t="s">
        <v>396</v>
      </c>
      <c r="I200" s="25" t="str">
        <f t="shared" si="3"/>
        <v>060970712012025</v>
      </c>
      <c r="J200" s="110" t="s">
        <v>589</v>
      </c>
      <c r="K200" s="110" t="s">
        <v>509</v>
      </c>
      <c r="L200" s="110" t="s">
        <v>497</v>
      </c>
      <c r="M200" s="104" t="s">
        <v>509</v>
      </c>
      <c r="N200" s="105" t="s">
        <v>398</v>
      </c>
      <c r="O200" s="105" t="s">
        <v>460</v>
      </c>
      <c r="P200" s="4" t="s">
        <v>383</v>
      </c>
      <c r="Q200" s="4" t="s">
        <v>226</v>
      </c>
      <c r="R200" s="74">
        <f>VLOOKUP(I200,'Трансп. каталог'!$F$3:$I$743,4,0)</f>
        <v>0</v>
      </c>
    </row>
    <row r="201" spans="1:18" x14ac:dyDescent="0.2">
      <c r="A201" s="24" t="s">
        <v>381</v>
      </c>
      <c r="B201" s="5" t="s">
        <v>12</v>
      </c>
      <c r="C201" s="5" t="s">
        <v>30</v>
      </c>
      <c r="D201" s="2" t="s">
        <v>382</v>
      </c>
      <c r="E201" s="4" t="s">
        <v>399</v>
      </c>
      <c r="F201" s="4" t="str">
        <f>VLOOKUP(I201,'Трансп. каталог'!$F$3:$I$743,2,0)</f>
        <v>не позднее 28.02.2025</v>
      </c>
      <c r="G201" s="67">
        <f>VLOOKUP(I201,'Трансп. каталог'!$F$3:$I$743,3,0)</f>
        <v>0</v>
      </c>
      <c r="H201" s="24" t="s">
        <v>400</v>
      </c>
      <c r="I201" s="25" t="str">
        <f t="shared" si="3"/>
        <v>060970712022025</v>
      </c>
      <c r="J201" s="110" t="s">
        <v>590</v>
      </c>
      <c r="K201" s="110" t="s">
        <v>670</v>
      </c>
      <c r="L201" s="110" t="s">
        <v>498</v>
      </c>
      <c r="M201" s="139">
        <v>45719</v>
      </c>
      <c r="N201" s="105" t="s">
        <v>402</v>
      </c>
      <c r="O201" s="105" t="s">
        <v>465</v>
      </c>
      <c r="P201" s="4" t="s">
        <v>383</v>
      </c>
      <c r="Q201" s="4" t="s">
        <v>226</v>
      </c>
      <c r="R201" s="74">
        <f>VLOOKUP(I201,'Трансп. каталог'!$F$3:$I$743,4,0)</f>
        <v>0</v>
      </c>
    </row>
    <row r="202" spans="1:18" x14ac:dyDescent="0.2">
      <c r="A202" s="27" t="s">
        <v>381</v>
      </c>
      <c r="B202" s="28" t="s">
        <v>12</v>
      </c>
      <c r="C202" s="28" t="s">
        <v>30</v>
      </c>
      <c r="D202" s="2" t="s">
        <v>382</v>
      </c>
      <c r="E202" s="26" t="s">
        <v>403</v>
      </c>
      <c r="F202" s="26" t="str">
        <f>VLOOKUP(I202,'Трансп. каталог'!$F$3:$I$743,2,0)</f>
        <v>не позднее 28.03.2025</v>
      </c>
      <c r="G202" s="68">
        <f>VLOOKUP(I202,'Трансп. каталог'!$F$3:$I$743,3,0)</f>
        <v>0</v>
      </c>
      <c r="H202" s="27" t="s">
        <v>404</v>
      </c>
      <c r="I202" s="29" t="str">
        <f t="shared" si="3"/>
        <v>060970712032025</v>
      </c>
      <c r="J202" s="141" t="s">
        <v>570</v>
      </c>
      <c r="K202" s="141" t="s">
        <v>405</v>
      </c>
      <c r="L202" s="141" t="s">
        <v>660</v>
      </c>
      <c r="M202" s="106" t="s">
        <v>405</v>
      </c>
      <c r="N202" s="107" t="s">
        <v>393</v>
      </c>
      <c r="O202" s="107" t="s">
        <v>710</v>
      </c>
      <c r="P202" s="26" t="s">
        <v>383</v>
      </c>
      <c r="Q202" s="26" t="s">
        <v>226</v>
      </c>
      <c r="R202" s="74">
        <f>VLOOKUP(I202,'Трансп. каталог'!$F$3:$I$743,4,0)</f>
        <v>0</v>
      </c>
    </row>
    <row r="203" spans="1:18" x14ac:dyDescent="0.2">
      <c r="A203" s="18" t="s">
        <v>381</v>
      </c>
      <c r="B203" s="3" t="s">
        <v>12</v>
      </c>
      <c r="C203" s="3" t="s">
        <v>30</v>
      </c>
      <c r="D203" s="2" t="s">
        <v>382</v>
      </c>
      <c r="E203" s="2" t="s">
        <v>407</v>
      </c>
      <c r="F203" s="2" t="str">
        <f>VLOOKUP(I203,'Трансп. каталог'!$F$3:$I$743,2,0)</f>
        <v>не позднее 30.04.2025</v>
      </c>
      <c r="G203" s="65">
        <f>VLOOKUP(I203,'Трансп. каталог'!$F$3:$I$743,3,0)</f>
        <v>0</v>
      </c>
      <c r="H203" s="18" t="s">
        <v>408</v>
      </c>
      <c r="I203" s="19" t="str">
        <f t="shared" si="3"/>
        <v>060970712042025</v>
      </c>
      <c r="J203" s="93" t="s">
        <v>549</v>
      </c>
      <c r="K203" s="93" t="s">
        <v>603</v>
      </c>
      <c r="L203" s="93" t="s">
        <v>661</v>
      </c>
      <c r="M203" s="106" t="s">
        <v>603</v>
      </c>
      <c r="N203" s="107" t="s">
        <v>603</v>
      </c>
      <c r="O203" s="107" t="s">
        <v>711</v>
      </c>
      <c r="P203" s="2" t="s">
        <v>383</v>
      </c>
      <c r="Q203" s="2" t="s">
        <v>226</v>
      </c>
      <c r="R203" s="74">
        <f>VLOOKUP(I203,'Трансп. каталог'!$F$3:$I$743,4,0)</f>
        <v>0</v>
      </c>
    </row>
    <row r="204" spans="1:18" x14ac:dyDescent="0.2">
      <c r="A204" s="21" t="s">
        <v>381</v>
      </c>
      <c r="B204" s="22" t="s">
        <v>12</v>
      </c>
      <c r="C204" s="22" t="s">
        <v>30</v>
      </c>
      <c r="D204" s="2" t="s">
        <v>382</v>
      </c>
      <c r="E204" s="20" t="s">
        <v>411</v>
      </c>
      <c r="F204" s="20" t="str">
        <f>VLOOKUP(I204,'Трансп. каталог'!$F$3:$I$743,2,0)</f>
        <v>не позднее 30.05.2025</v>
      </c>
      <c r="G204" s="66">
        <f>VLOOKUP(I204,'Трансп. каталог'!$F$3:$I$743,3,0)</f>
        <v>0</v>
      </c>
      <c r="H204" s="21" t="s">
        <v>412</v>
      </c>
      <c r="I204" s="23" t="str">
        <f t="shared" si="3"/>
        <v>060970712052025</v>
      </c>
      <c r="J204" s="94" t="s">
        <v>1377</v>
      </c>
      <c r="K204" s="94" t="s">
        <v>624</v>
      </c>
      <c r="L204" s="94" t="s">
        <v>625</v>
      </c>
      <c r="M204" s="106" t="s">
        <v>624</v>
      </c>
      <c r="N204" s="107" t="s">
        <v>414</v>
      </c>
      <c r="O204" s="107" t="s">
        <v>712</v>
      </c>
      <c r="P204" s="20" t="s">
        <v>383</v>
      </c>
      <c r="Q204" s="20" t="s">
        <v>226</v>
      </c>
      <c r="R204" s="74">
        <f>VLOOKUP(I204,'Трансп. каталог'!$F$3:$I$743,4,0)</f>
        <v>0</v>
      </c>
    </row>
    <row r="205" spans="1:18" x14ac:dyDescent="0.2">
      <c r="A205" s="24" t="s">
        <v>381</v>
      </c>
      <c r="B205" s="5" t="s">
        <v>12</v>
      </c>
      <c r="C205" s="5" t="s">
        <v>30</v>
      </c>
      <c r="D205" s="2" t="s">
        <v>382</v>
      </c>
      <c r="E205" s="4" t="s">
        <v>415</v>
      </c>
      <c r="F205" s="4" t="str">
        <f>VLOOKUP(I205,'Трансп. каталог'!$F$3:$I$743,2,0)</f>
        <v>не позднее 30.06.2025</v>
      </c>
      <c r="G205" s="67">
        <f>VLOOKUP(I205,'Трансп. каталог'!$F$3:$I$743,3,0)</f>
        <v>0</v>
      </c>
      <c r="H205" s="24" t="s">
        <v>416</v>
      </c>
      <c r="I205" s="25" t="str">
        <f t="shared" si="3"/>
        <v>060970712062025</v>
      </c>
      <c r="J205" s="110" t="s">
        <v>572</v>
      </c>
      <c r="K205" s="110" t="s">
        <v>483</v>
      </c>
      <c r="L205" s="110" t="s">
        <v>626</v>
      </c>
      <c r="M205" s="106" t="s">
        <v>483</v>
      </c>
      <c r="N205" s="107" t="s">
        <v>483</v>
      </c>
      <c r="O205" s="107" t="s">
        <v>713</v>
      </c>
      <c r="P205" s="4" t="s">
        <v>383</v>
      </c>
      <c r="Q205" s="4" t="s">
        <v>226</v>
      </c>
      <c r="R205" s="74">
        <f>VLOOKUP(I205,'Трансп. каталог'!$F$3:$I$743,4,0)</f>
        <v>0</v>
      </c>
    </row>
    <row r="206" spans="1:18" x14ac:dyDescent="0.2">
      <c r="A206" s="24" t="s">
        <v>381</v>
      </c>
      <c r="B206" s="5" t="s">
        <v>12</v>
      </c>
      <c r="C206" s="5" t="s">
        <v>30</v>
      </c>
      <c r="D206" s="2" t="s">
        <v>382</v>
      </c>
      <c r="E206" s="4" t="s">
        <v>419</v>
      </c>
      <c r="F206" s="4" t="str">
        <f>VLOOKUP(I206,'Трансп. каталог'!$F$3:$I$743,2,0)</f>
        <v>не позднее 30.07.2025</v>
      </c>
      <c r="G206" s="67">
        <f>VLOOKUP(I206,'Трансп. каталог'!$F$3:$I$743,3,0)</f>
        <v>0</v>
      </c>
      <c r="H206" s="24" t="s">
        <v>420</v>
      </c>
      <c r="I206" s="25" t="str">
        <f t="shared" si="3"/>
        <v>060970712072025</v>
      </c>
      <c r="J206" s="110" t="s">
        <v>597</v>
      </c>
      <c r="K206" s="110" t="s">
        <v>421</v>
      </c>
      <c r="L206" s="110" t="s">
        <v>502</v>
      </c>
      <c r="M206" s="85" t="s">
        <v>421</v>
      </c>
      <c r="N206" s="90" t="s">
        <v>552</v>
      </c>
      <c r="O206" s="90" t="s">
        <v>627</v>
      </c>
      <c r="P206" s="4" t="s">
        <v>383</v>
      </c>
      <c r="Q206" s="4" t="s">
        <v>226</v>
      </c>
      <c r="R206" s="74">
        <f>VLOOKUP(I206,'Трансп. каталог'!$F$3:$I$743,4,0)</f>
        <v>0</v>
      </c>
    </row>
    <row r="207" spans="1:18" x14ac:dyDescent="0.2">
      <c r="A207" s="24" t="s">
        <v>381</v>
      </c>
      <c r="B207" s="5" t="s">
        <v>12</v>
      </c>
      <c r="C207" s="5" t="s">
        <v>30</v>
      </c>
      <c r="D207" s="2" t="s">
        <v>382</v>
      </c>
      <c r="E207" s="4" t="s">
        <v>423</v>
      </c>
      <c r="F207" s="4" t="str">
        <f>VLOOKUP(I207,'Трансп. каталог'!$F$3:$I$743,2,0)</f>
        <v>не позднее 29.08.2025</v>
      </c>
      <c r="G207" s="67">
        <f>VLOOKUP(I207,'Трансп. каталог'!$F$3:$I$743,3,0)</f>
        <v>0</v>
      </c>
      <c r="H207" s="24" t="s">
        <v>424</v>
      </c>
      <c r="I207" s="25" t="str">
        <f t="shared" si="3"/>
        <v>060970712082025</v>
      </c>
      <c r="J207" s="43" t="s">
        <v>1383</v>
      </c>
      <c r="K207" s="43" t="s">
        <v>607</v>
      </c>
      <c r="L207" s="43" t="s">
        <v>503</v>
      </c>
      <c r="M207" s="85" t="s">
        <v>607</v>
      </c>
      <c r="N207" s="90" t="s">
        <v>607</v>
      </c>
      <c r="O207" s="90" t="s">
        <v>714</v>
      </c>
      <c r="P207" s="4" t="s">
        <v>383</v>
      </c>
      <c r="Q207" s="4" t="s">
        <v>226</v>
      </c>
      <c r="R207" s="74">
        <f>VLOOKUP(I207,'Трансп. каталог'!$F$3:$I$743,4,0)</f>
        <v>0</v>
      </c>
    </row>
    <row r="208" spans="1:18" x14ac:dyDescent="0.2">
      <c r="A208" s="24" t="s">
        <v>381</v>
      </c>
      <c r="B208" s="5" t="s">
        <v>12</v>
      </c>
      <c r="C208" s="5" t="s">
        <v>30</v>
      </c>
      <c r="D208" s="2" t="s">
        <v>382</v>
      </c>
      <c r="E208" s="4" t="s">
        <v>427</v>
      </c>
      <c r="F208" s="4" t="str">
        <f>VLOOKUP(I208,'Трансп. каталог'!$F$3:$I$743,2,0)</f>
        <v>не позднее 30.09.2025</v>
      </c>
      <c r="G208" s="67">
        <f>VLOOKUP(I208,'Трансп. каталог'!$F$3:$I$743,3,0)</f>
        <v>0</v>
      </c>
      <c r="H208" s="24" t="s">
        <v>428</v>
      </c>
      <c r="I208" s="25" t="str">
        <f t="shared" si="3"/>
        <v>060970712092025</v>
      </c>
      <c r="J208" s="43" t="s">
        <v>574</v>
      </c>
      <c r="K208" s="43" t="s">
        <v>485</v>
      </c>
      <c r="L208" s="43" t="s">
        <v>630</v>
      </c>
      <c r="M208" s="85" t="s">
        <v>485</v>
      </c>
      <c r="N208" s="90" t="s">
        <v>485</v>
      </c>
      <c r="O208" s="90" t="s">
        <v>715</v>
      </c>
      <c r="P208" s="4" t="s">
        <v>383</v>
      </c>
      <c r="Q208" s="4" t="s">
        <v>226</v>
      </c>
      <c r="R208" s="74">
        <f>VLOOKUP(I208,'Трансп. каталог'!$F$3:$I$743,4,0)</f>
        <v>0</v>
      </c>
    </row>
    <row r="209" spans="1:18" x14ac:dyDescent="0.2">
      <c r="A209" s="24" t="s">
        <v>381</v>
      </c>
      <c r="B209" s="5" t="s">
        <v>12</v>
      </c>
      <c r="C209" s="5" t="s">
        <v>30</v>
      </c>
      <c r="D209" s="2" t="s">
        <v>382</v>
      </c>
      <c r="E209" s="4" t="s">
        <v>431</v>
      </c>
      <c r="F209" s="4" t="str">
        <f>VLOOKUP(I209,'Трансп. каталог'!$F$3:$I$743,2,0)</f>
        <v>не позднее 30.10.2025</v>
      </c>
      <c r="G209" s="67">
        <f>VLOOKUP(I209,'Трансп. каталог'!$F$3:$I$743,3,0)</f>
        <v>0</v>
      </c>
      <c r="H209" s="24" t="s">
        <v>432</v>
      </c>
      <c r="I209" s="25" t="str">
        <f t="shared" si="3"/>
        <v>060970712102025</v>
      </c>
      <c r="J209" s="43" t="s">
        <v>631</v>
      </c>
      <c r="K209" s="43" t="s">
        <v>433</v>
      </c>
      <c r="L209" s="43" t="s">
        <v>505</v>
      </c>
      <c r="M209" s="85" t="s">
        <v>433</v>
      </c>
      <c r="N209" s="90" t="s">
        <v>556</v>
      </c>
      <c r="O209" s="90" t="s">
        <v>602</v>
      </c>
      <c r="P209" s="4" t="s">
        <v>383</v>
      </c>
      <c r="Q209" s="4" t="s">
        <v>226</v>
      </c>
      <c r="R209" s="74">
        <f>VLOOKUP(I209,'Трансп. каталог'!$F$3:$I$743,4,0)</f>
        <v>0</v>
      </c>
    </row>
    <row r="210" spans="1:18" x14ac:dyDescent="0.2">
      <c r="A210" s="24" t="s">
        <v>381</v>
      </c>
      <c r="B210" s="5" t="s">
        <v>12</v>
      </c>
      <c r="C210" s="5" t="s">
        <v>30</v>
      </c>
      <c r="D210" s="2" t="s">
        <v>382</v>
      </c>
      <c r="E210" s="4" t="s">
        <v>435</v>
      </c>
      <c r="F210" s="4" t="str">
        <f>VLOOKUP(I210,'Трансп. каталог'!$F$3:$I$743,2,0)</f>
        <v>не позднее 28.11.2025</v>
      </c>
      <c r="G210" s="67">
        <f>VLOOKUP(I210,'Трансп. каталог'!$F$3:$I$743,3,0)</f>
        <v>0</v>
      </c>
      <c r="H210" s="24" t="s">
        <v>436</v>
      </c>
      <c r="I210" s="25" t="str">
        <f t="shared" si="3"/>
        <v>060970712112025</v>
      </c>
      <c r="J210" s="43" t="s">
        <v>1382</v>
      </c>
      <c r="K210" s="43" t="s">
        <v>608</v>
      </c>
      <c r="L210" s="43" t="s">
        <v>506</v>
      </c>
      <c r="M210" s="85" t="s">
        <v>608</v>
      </c>
      <c r="N210" s="90" t="s">
        <v>608</v>
      </c>
      <c r="O210" s="90" t="s">
        <v>716</v>
      </c>
      <c r="P210" s="4" t="s">
        <v>383</v>
      </c>
      <c r="Q210" s="4" t="s">
        <v>226</v>
      </c>
      <c r="R210" s="74">
        <f>VLOOKUP(I210,'Трансп. каталог'!$F$3:$I$743,4,0)</f>
        <v>0</v>
      </c>
    </row>
    <row r="211" spans="1:18" x14ac:dyDescent="0.2">
      <c r="A211" s="24" t="s">
        <v>381</v>
      </c>
      <c r="B211" s="5" t="s">
        <v>12</v>
      </c>
      <c r="C211" s="5" t="s">
        <v>30</v>
      </c>
      <c r="D211" s="2" t="s">
        <v>382</v>
      </c>
      <c r="E211" s="4" t="s">
        <v>439</v>
      </c>
      <c r="F211" s="4" t="str">
        <f>VLOOKUP(I211,'Трансп. каталог'!$F$3:$I$743,2,0)</f>
        <v>не позднее 29.12.2025</v>
      </c>
      <c r="G211" s="67">
        <f>VLOOKUP(I211,'Трансп. каталог'!$F$3:$I$743,3,0)</f>
        <v>0</v>
      </c>
      <c r="H211" s="24" t="s">
        <v>440</v>
      </c>
      <c r="I211" s="25" t="str">
        <f t="shared" si="3"/>
        <v>060970712122025</v>
      </c>
      <c r="J211" s="43" t="s">
        <v>575</v>
      </c>
      <c r="K211" s="43" t="s">
        <v>441</v>
      </c>
      <c r="L211" s="43" t="s">
        <v>665</v>
      </c>
      <c r="M211" s="85" t="s">
        <v>441</v>
      </c>
      <c r="N211" s="90" t="s">
        <v>1379</v>
      </c>
      <c r="O211" s="90" t="s">
        <v>707</v>
      </c>
      <c r="P211" s="4" t="s">
        <v>383</v>
      </c>
      <c r="Q211" s="4" t="s">
        <v>226</v>
      </c>
      <c r="R211" s="74">
        <f>VLOOKUP(I211,'Трансп. каталог'!$F$3:$I$743,4,0)</f>
        <v>0</v>
      </c>
    </row>
    <row r="212" spans="1:18" hidden="1" x14ac:dyDescent="0.2">
      <c r="A212" s="24" t="s">
        <v>98</v>
      </c>
      <c r="B212" s="5" t="s">
        <v>2</v>
      </c>
      <c r="C212" s="5" t="s">
        <v>30</v>
      </c>
      <c r="D212" s="2" t="s">
        <v>99</v>
      </c>
      <c r="E212" s="4" t="s">
        <v>446</v>
      </c>
      <c r="F212" s="4" t="str">
        <f>VLOOKUP(I212,'Трансп. каталог'!$F$3:$I$743,2,0)</f>
        <v>не позднее 30.01.2025</v>
      </c>
      <c r="G212" s="67">
        <f>VLOOKUP(I212,'Трансп. каталог'!$F$3:$I$743,3,0)</f>
        <v>0</v>
      </c>
      <c r="H212" s="24" t="s">
        <v>447</v>
      </c>
      <c r="I212" s="25" t="str">
        <f t="shared" ref="I212:I275" si="4">CONCATENATE(A212,H212)</f>
        <v>060970804012025</v>
      </c>
      <c r="J212" s="110" t="s">
        <v>585</v>
      </c>
      <c r="K212" s="110" t="s">
        <v>397</v>
      </c>
      <c r="L212" s="110" t="s">
        <v>524</v>
      </c>
      <c r="M212" s="139">
        <v>45692</v>
      </c>
      <c r="N212" s="105" t="s">
        <v>520</v>
      </c>
      <c r="O212" s="105" t="s">
        <v>510</v>
      </c>
      <c r="P212" s="4" t="s">
        <v>100</v>
      </c>
      <c r="Q212" s="4" t="s">
        <v>33</v>
      </c>
      <c r="R212" s="74">
        <f>VLOOKUP(I212,'Трансп. каталог'!$F$3:$I$743,4,0)</f>
        <v>0</v>
      </c>
    </row>
    <row r="213" spans="1:18" hidden="1" x14ac:dyDescent="0.2">
      <c r="A213" s="24" t="s">
        <v>98</v>
      </c>
      <c r="B213" s="5" t="s">
        <v>2</v>
      </c>
      <c r="C213" s="5" t="s">
        <v>30</v>
      </c>
      <c r="D213" s="2" t="s">
        <v>99</v>
      </c>
      <c r="E213" s="4" t="s">
        <v>449</v>
      </c>
      <c r="F213" s="4" t="str">
        <f>VLOOKUP(I213,'Трансп. каталог'!$F$3:$I$743,2,0)</f>
        <v>не позднее 30.04.2025</v>
      </c>
      <c r="G213" s="67">
        <f>VLOOKUP(I213,'Трансп. каталог'!$F$3:$I$743,3,0)</f>
        <v>0</v>
      </c>
      <c r="H213" s="24" t="s">
        <v>450</v>
      </c>
      <c r="I213" s="25" t="str">
        <f t="shared" si="4"/>
        <v>060970804022025</v>
      </c>
      <c r="J213" s="110" t="s">
        <v>500</v>
      </c>
      <c r="K213" s="110" t="s">
        <v>409</v>
      </c>
      <c r="L213" s="110" t="s">
        <v>489</v>
      </c>
      <c r="M213" s="139" t="s">
        <v>409</v>
      </c>
      <c r="N213" s="105" t="s">
        <v>549</v>
      </c>
      <c r="O213" s="105" t="s">
        <v>661</v>
      </c>
      <c r="P213" s="4" t="s">
        <v>100</v>
      </c>
      <c r="Q213" s="4" t="s">
        <v>33</v>
      </c>
      <c r="R213" s="74">
        <f>VLOOKUP(I213,'Трансп. каталог'!$F$3:$I$743,4,0)</f>
        <v>0</v>
      </c>
    </row>
    <row r="214" spans="1:18" hidden="1" x14ac:dyDescent="0.2">
      <c r="A214" s="27" t="s">
        <v>98</v>
      </c>
      <c r="B214" s="28" t="s">
        <v>2</v>
      </c>
      <c r="C214" s="28" t="s">
        <v>30</v>
      </c>
      <c r="D214" s="2" t="s">
        <v>99</v>
      </c>
      <c r="E214" s="26" t="s">
        <v>452</v>
      </c>
      <c r="F214" s="26" t="str">
        <f>VLOOKUP(I214,'Трансп. каталог'!$F$3:$I$743,2,0)</f>
        <v>не позднее 29.07.2025</v>
      </c>
      <c r="G214" s="68">
        <f>VLOOKUP(I214,'Трансп. каталог'!$F$3:$I$743,3,0)</f>
        <v>0</v>
      </c>
      <c r="H214" s="27" t="s">
        <v>453</v>
      </c>
      <c r="I214" s="29" t="str">
        <f t="shared" si="4"/>
        <v>060970804032025</v>
      </c>
      <c r="J214" s="141" t="s">
        <v>514</v>
      </c>
      <c r="K214" s="141" t="s">
        <v>552</v>
      </c>
      <c r="L214" s="141" t="s">
        <v>536</v>
      </c>
      <c r="M214" s="86" t="s">
        <v>552</v>
      </c>
      <c r="N214" s="91" t="s">
        <v>553</v>
      </c>
      <c r="O214" s="91" t="s">
        <v>580</v>
      </c>
      <c r="P214" s="26" t="s">
        <v>100</v>
      </c>
      <c r="Q214" s="26" t="s">
        <v>33</v>
      </c>
      <c r="R214" s="74">
        <f>VLOOKUP(I214,'Трансп. каталог'!$F$3:$I$743,4,0)</f>
        <v>0</v>
      </c>
    </row>
    <row r="215" spans="1:18" hidden="1" x14ac:dyDescent="0.2">
      <c r="A215" s="18" t="s">
        <v>98</v>
      </c>
      <c r="B215" s="3" t="s">
        <v>2</v>
      </c>
      <c r="C215" s="3" t="s">
        <v>30</v>
      </c>
      <c r="D215" s="2" t="s">
        <v>99</v>
      </c>
      <c r="E215" s="2" t="s">
        <v>456</v>
      </c>
      <c r="F215" s="2" t="str">
        <f>VLOOKUP(I215,'Трансп. каталог'!$F$3:$I$743,2,0)</f>
        <v>не позднее 28.10.2025</v>
      </c>
      <c r="G215" s="65">
        <f>VLOOKUP(I215,'Трансп. каталог'!$F$3:$I$743,3,0)</f>
        <v>0</v>
      </c>
      <c r="H215" s="18" t="s">
        <v>457</v>
      </c>
      <c r="I215" s="19" t="str">
        <f t="shared" si="4"/>
        <v>060970804042025</v>
      </c>
      <c r="J215" s="41" t="s">
        <v>668</v>
      </c>
      <c r="K215" s="41" t="s">
        <v>477</v>
      </c>
      <c r="L215" s="41" t="s">
        <v>583</v>
      </c>
      <c r="M215" s="83" t="s">
        <v>477</v>
      </c>
      <c r="N215" s="88" t="s">
        <v>505</v>
      </c>
      <c r="O215" s="88" t="s">
        <v>518</v>
      </c>
      <c r="P215" s="2" t="s">
        <v>100</v>
      </c>
      <c r="Q215" s="2" t="s">
        <v>33</v>
      </c>
      <c r="R215" s="74">
        <f>VLOOKUP(I215,'Трансп. каталог'!$F$3:$I$743,4,0)</f>
        <v>0</v>
      </c>
    </row>
    <row r="216" spans="1:18" hidden="1" x14ac:dyDescent="0.2">
      <c r="A216" s="21" t="s">
        <v>170</v>
      </c>
      <c r="B216" s="22" t="s">
        <v>2</v>
      </c>
      <c r="C216" s="22" t="s">
        <v>3</v>
      </c>
      <c r="D216" s="2" t="s">
        <v>168</v>
      </c>
      <c r="E216" s="20" t="s">
        <v>395</v>
      </c>
      <c r="F216" s="20" t="str">
        <f>VLOOKUP(I216,'Трансп. каталог'!$F$3:$I$743,2,0)</f>
        <v>не позднее 30.01.2025</v>
      </c>
      <c r="G216" s="66">
        <f>VLOOKUP(I216,'Трансп. каталог'!$F$3:$I$743,3,0)</f>
        <v>0</v>
      </c>
      <c r="H216" s="21" t="s">
        <v>396</v>
      </c>
      <c r="I216" s="23" t="str">
        <f t="shared" si="4"/>
        <v>061000112012025</v>
      </c>
      <c r="J216" s="94" t="s">
        <v>510</v>
      </c>
      <c r="K216" s="94" t="s">
        <v>509</v>
      </c>
      <c r="L216" s="94" t="s">
        <v>669</v>
      </c>
      <c r="M216" s="99" t="s">
        <v>509</v>
      </c>
      <c r="N216" s="95" t="s">
        <v>497</v>
      </c>
      <c r="O216" s="95" t="s">
        <v>463</v>
      </c>
      <c r="P216" s="20" t="s">
        <v>171</v>
      </c>
      <c r="Q216" s="20" t="s">
        <v>6</v>
      </c>
      <c r="R216" s="75">
        <f>VLOOKUP(I216,'Трансп. каталог'!$F$3:$I$743,4,0)</f>
        <v>0</v>
      </c>
    </row>
    <row r="217" spans="1:18" hidden="1" x14ac:dyDescent="0.2">
      <c r="A217" s="24" t="s">
        <v>170</v>
      </c>
      <c r="B217" s="5" t="s">
        <v>2</v>
      </c>
      <c r="C217" s="5" t="s">
        <v>3</v>
      </c>
      <c r="D217" s="2" t="s">
        <v>168</v>
      </c>
      <c r="E217" s="4" t="s">
        <v>399</v>
      </c>
      <c r="F217" s="4" t="str">
        <f>VLOOKUP(I217,'Трансп. каталог'!$F$3:$I$743,2,0)</f>
        <v>не позднее 27.02.2025</v>
      </c>
      <c r="G217" s="67">
        <f>VLOOKUP(I217,'Трансп. каталог'!$F$3:$I$743,3,0)</f>
        <v>0</v>
      </c>
      <c r="H217" s="24" t="s">
        <v>400</v>
      </c>
      <c r="I217" s="25" t="str">
        <f t="shared" si="4"/>
        <v>061000112022025</v>
      </c>
      <c r="J217" s="110" t="s">
        <v>495</v>
      </c>
      <c r="K217" s="110" t="s">
        <v>670</v>
      </c>
      <c r="L217" s="110" t="s">
        <v>586</v>
      </c>
      <c r="M217" s="104" t="s">
        <v>670</v>
      </c>
      <c r="N217" s="105" t="s">
        <v>545</v>
      </c>
      <c r="O217" s="105" t="s">
        <v>605</v>
      </c>
      <c r="P217" s="4" t="s">
        <v>171</v>
      </c>
      <c r="Q217" s="4" t="s">
        <v>6</v>
      </c>
      <c r="R217" s="71">
        <f>VLOOKUP(I217,'Трансп. каталог'!$F$3:$I$743,4,0)</f>
        <v>0</v>
      </c>
    </row>
    <row r="218" spans="1:18" hidden="1" x14ac:dyDescent="0.2">
      <c r="A218" s="24" t="s">
        <v>170</v>
      </c>
      <c r="B218" s="5" t="s">
        <v>2</v>
      </c>
      <c r="C218" s="5" t="s">
        <v>3</v>
      </c>
      <c r="D218" s="2" t="s">
        <v>168</v>
      </c>
      <c r="E218" s="4" t="s">
        <v>403</v>
      </c>
      <c r="F218" s="4" t="str">
        <f>VLOOKUP(I218,'Трансп. каталог'!$F$3:$I$743,2,0)</f>
        <v>не позднее 28.03.2025</v>
      </c>
      <c r="G218" s="67">
        <f>VLOOKUP(I218,'Трансп. каталог'!$F$3:$I$743,3,0)</f>
        <v>0</v>
      </c>
      <c r="H218" s="24" t="s">
        <v>404</v>
      </c>
      <c r="I218" s="25" t="str">
        <f t="shared" si="4"/>
        <v>061000112032025</v>
      </c>
      <c r="J218" s="110" t="s">
        <v>461</v>
      </c>
      <c r="K218" s="110" t="s">
        <v>393</v>
      </c>
      <c r="L218" s="110" t="s">
        <v>671</v>
      </c>
      <c r="M218" s="104" t="s">
        <v>393</v>
      </c>
      <c r="N218" s="105" t="s">
        <v>521</v>
      </c>
      <c r="O218" s="105" t="s">
        <v>547</v>
      </c>
      <c r="P218" s="4" t="s">
        <v>171</v>
      </c>
      <c r="Q218" s="4" t="s">
        <v>6</v>
      </c>
      <c r="R218" s="71">
        <f>VLOOKUP(I218,'Трансп. каталог'!$F$3:$I$743,4,0)</f>
        <v>0</v>
      </c>
    </row>
    <row r="219" spans="1:18" hidden="1" x14ac:dyDescent="0.2">
      <c r="A219" s="24" t="s">
        <v>170</v>
      </c>
      <c r="B219" s="5" t="s">
        <v>2</v>
      </c>
      <c r="C219" s="5" t="s">
        <v>3</v>
      </c>
      <c r="D219" s="2" t="s">
        <v>168</v>
      </c>
      <c r="E219" s="4" t="s">
        <v>407</v>
      </c>
      <c r="F219" s="4" t="str">
        <f>VLOOKUP(I219,'Трансп. каталог'!$F$3:$I$743,2,0)</f>
        <v>не позднее 25.04.2025</v>
      </c>
      <c r="G219" s="67">
        <f>VLOOKUP(I219,'Трансп. каталог'!$F$3:$I$743,3,0)</f>
        <v>0</v>
      </c>
      <c r="H219" s="24" t="s">
        <v>408</v>
      </c>
      <c r="I219" s="25" t="str">
        <f t="shared" si="4"/>
        <v>061000112042025</v>
      </c>
      <c r="J219" s="110" t="s">
        <v>667</v>
      </c>
      <c r="K219" s="110" t="s">
        <v>603</v>
      </c>
      <c r="L219" s="110" t="s">
        <v>530</v>
      </c>
      <c r="M219" s="104" t="s">
        <v>603</v>
      </c>
      <c r="N219" s="105" t="s">
        <v>661</v>
      </c>
      <c r="O219" s="105" t="s">
        <v>529</v>
      </c>
      <c r="P219" s="4" t="s">
        <v>171</v>
      </c>
      <c r="Q219" s="4" t="s">
        <v>6</v>
      </c>
      <c r="R219" s="71">
        <f>VLOOKUP(I219,'Трансп. каталог'!$F$3:$I$743,4,0)</f>
        <v>0</v>
      </c>
    </row>
    <row r="220" spans="1:18" hidden="1" x14ac:dyDescent="0.2">
      <c r="A220" s="24" t="s">
        <v>170</v>
      </c>
      <c r="B220" s="5" t="s">
        <v>2</v>
      </c>
      <c r="C220" s="5" t="s">
        <v>3</v>
      </c>
      <c r="D220" s="2" t="s">
        <v>168</v>
      </c>
      <c r="E220" s="4" t="s">
        <v>411</v>
      </c>
      <c r="F220" s="4" t="str">
        <f>VLOOKUP(I220,'Трансп. каталог'!$F$3:$I$743,2,0)</f>
        <v xml:space="preserve">не позднее 29.05.2025 </v>
      </c>
      <c r="G220" s="67">
        <f>VLOOKUP(I220,'Трансп. каталог'!$F$3:$I$743,3,0)</f>
        <v>0</v>
      </c>
      <c r="H220" s="24" t="s">
        <v>412</v>
      </c>
      <c r="I220" s="25" t="str">
        <f t="shared" si="4"/>
        <v>061000112052025</v>
      </c>
      <c r="J220" s="110" t="s">
        <v>565</v>
      </c>
      <c r="K220" s="110" t="s">
        <v>624</v>
      </c>
      <c r="L220" s="110" t="s">
        <v>571</v>
      </c>
      <c r="M220" s="104" t="s">
        <v>624</v>
      </c>
      <c r="N220" s="105" t="s">
        <v>625</v>
      </c>
      <c r="O220" s="105" t="s">
        <v>550</v>
      </c>
      <c r="P220" s="4" t="s">
        <v>171</v>
      </c>
      <c r="Q220" s="4" t="s">
        <v>6</v>
      </c>
      <c r="R220" s="71">
        <f>VLOOKUP(I220,'Трансп. каталог'!$F$3:$I$743,4,0)</f>
        <v>0</v>
      </c>
    </row>
    <row r="221" spans="1:18" hidden="1" x14ac:dyDescent="0.2">
      <c r="A221" s="24" t="s">
        <v>170</v>
      </c>
      <c r="B221" s="5" t="s">
        <v>2</v>
      </c>
      <c r="C221" s="5" t="s">
        <v>3</v>
      </c>
      <c r="D221" s="2" t="s">
        <v>168</v>
      </c>
      <c r="E221" s="4" t="s">
        <v>415</v>
      </c>
      <c r="F221" s="4" t="str">
        <f>VLOOKUP(I221,'Трансп. каталог'!$F$3:$I$743,2,0)</f>
        <v>не позднее 27.06.2025</v>
      </c>
      <c r="G221" s="67">
        <f>VLOOKUP(I221,'Трансп. каталог'!$F$3:$I$743,3,0)</f>
        <v>0</v>
      </c>
      <c r="H221" s="24" t="s">
        <v>416</v>
      </c>
      <c r="I221" s="25" t="str">
        <f t="shared" si="4"/>
        <v>061000112062025</v>
      </c>
      <c r="J221" s="110" t="s">
        <v>615</v>
      </c>
      <c r="K221" s="110" t="s">
        <v>672</v>
      </c>
      <c r="L221" s="110" t="s">
        <v>533</v>
      </c>
      <c r="M221" s="104" t="s">
        <v>672</v>
      </c>
      <c r="N221" s="105" t="s">
        <v>501</v>
      </c>
      <c r="O221" s="105" t="s">
        <v>551</v>
      </c>
      <c r="P221" s="4" t="s">
        <v>171</v>
      </c>
      <c r="Q221" s="4" t="s">
        <v>6</v>
      </c>
      <c r="R221" s="71">
        <f>VLOOKUP(I221,'Трансп. каталог'!$F$3:$I$743,4,0)</f>
        <v>0</v>
      </c>
    </row>
    <row r="222" spans="1:18" hidden="1" x14ac:dyDescent="0.2">
      <c r="A222" s="24" t="s">
        <v>170</v>
      </c>
      <c r="B222" s="5" t="s">
        <v>2</v>
      </c>
      <c r="C222" s="5" t="s">
        <v>3</v>
      </c>
      <c r="D222" s="2" t="s">
        <v>168</v>
      </c>
      <c r="E222" s="4" t="s">
        <v>419</v>
      </c>
      <c r="F222" s="4" t="str">
        <f>VLOOKUP(I222,'Трансп. каталог'!$F$3:$I$743,2,0)</f>
        <v>не позднее 29.07.2025</v>
      </c>
      <c r="G222" s="67">
        <f>VLOOKUP(I222,'Трансп. каталог'!$F$3:$I$743,3,0)</f>
        <v>0</v>
      </c>
      <c r="H222" s="24" t="s">
        <v>420</v>
      </c>
      <c r="I222" s="25" t="str">
        <f t="shared" si="4"/>
        <v>061000112072025</v>
      </c>
      <c r="J222" s="43" t="s">
        <v>580</v>
      </c>
      <c r="K222" s="43" t="s">
        <v>627</v>
      </c>
      <c r="L222" s="43" t="s">
        <v>673</v>
      </c>
      <c r="M222" s="85" t="s">
        <v>627</v>
      </c>
      <c r="N222" s="90" t="s">
        <v>502</v>
      </c>
      <c r="O222" s="90" t="s">
        <v>606</v>
      </c>
      <c r="P222" s="4" t="s">
        <v>171</v>
      </c>
      <c r="Q222" s="4" t="s">
        <v>6</v>
      </c>
      <c r="R222" s="71">
        <f>VLOOKUP(I222,'Трансп. каталог'!$F$3:$I$743,4,0)</f>
        <v>0</v>
      </c>
    </row>
    <row r="223" spans="1:18" hidden="1" x14ac:dyDescent="0.2">
      <c r="A223" s="24" t="s">
        <v>170</v>
      </c>
      <c r="B223" s="5" t="s">
        <v>2</v>
      </c>
      <c r="C223" s="5" t="s">
        <v>3</v>
      </c>
      <c r="D223" s="2" t="s">
        <v>168</v>
      </c>
      <c r="E223" s="4" t="s">
        <v>423</v>
      </c>
      <c r="F223" s="4" t="str">
        <f>VLOOKUP(I223,'Трансп. каталог'!$F$3:$I$743,2,0)</f>
        <v>не позднее 29.08.2025</v>
      </c>
      <c r="G223" s="67">
        <f>VLOOKUP(I223,'Трансп. каталог'!$F$3:$I$743,3,0)</f>
        <v>0</v>
      </c>
      <c r="H223" s="24" t="s">
        <v>424</v>
      </c>
      <c r="I223" s="25" t="str">
        <f t="shared" si="4"/>
        <v>061000112082025</v>
      </c>
      <c r="J223" s="43" t="s">
        <v>554</v>
      </c>
      <c r="K223" s="43" t="s">
        <v>607</v>
      </c>
      <c r="L223" s="43" t="s">
        <v>566</v>
      </c>
      <c r="M223" s="85" t="s">
        <v>607</v>
      </c>
      <c r="N223" s="90" t="s">
        <v>503</v>
      </c>
      <c r="O223" s="90" t="s">
        <v>560</v>
      </c>
      <c r="P223" s="4" t="s">
        <v>171</v>
      </c>
      <c r="Q223" s="4" t="s">
        <v>6</v>
      </c>
      <c r="R223" s="71">
        <f>VLOOKUP(I223,'Трансп. каталог'!$F$3:$I$743,4,0)</f>
        <v>0</v>
      </c>
    </row>
    <row r="224" spans="1:18" hidden="1" x14ac:dyDescent="0.2">
      <c r="A224" s="24" t="s">
        <v>170</v>
      </c>
      <c r="B224" s="5" t="s">
        <v>2</v>
      </c>
      <c r="C224" s="5" t="s">
        <v>3</v>
      </c>
      <c r="D224" s="2" t="s">
        <v>168</v>
      </c>
      <c r="E224" s="4" t="s">
        <v>427</v>
      </c>
      <c r="F224" s="4" t="str">
        <f>VLOOKUP(I224,'Трансп. каталог'!$F$3:$I$743,2,0)</f>
        <v>не позднее 26.09.2025</v>
      </c>
      <c r="G224" s="67">
        <f>VLOOKUP(I224,'Трансп. каталог'!$F$3:$I$743,3,0)</f>
        <v>0</v>
      </c>
      <c r="H224" s="24" t="s">
        <v>428</v>
      </c>
      <c r="I224" s="25" t="str">
        <f t="shared" si="4"/>
        <v>061000112092025</v>
      </c>
      <c r="J224" s="43" t="s">
        <v>616</v>
      </c>
      <c r="K224" s="43" t="s">
        <v>485</v>
      </c>
      <c r="L224" s="43" t="s">
        <v>674</v>
      </c>
      <c r="M224" s="85" t="s">
        <v>485</v>
      </c>
      <c r="N224" s="90" t="s">
        <v>630</v>
      </c>
      <c r="O224" s="90" t="s">
        <v>1368</v>
      </c>
      <c r="P224" s="4" t="s">
        <v>171</v>
      </c>
      <c r="Q224" s="4" t="s">
        <v>6</v>
      </c>
      <c r="R224" s="71">
        <f>VLOOKUP(I224,'Трансп. каталог'!$F$3:$I$743,4,0)</f>
        <v>0</v>
      </c>
    </row>
    <row r="225" spans="1:18" hidden="1" x14ac:dyDescent="0.2">
      <c r="A225" s="27" t="s">
        <v>170</v>
      </c>
      <c r="B225" s="28" t="s">
        <v>2</v>
      </c>
      <c r="C225" s="28" t="s">
        <v>3</v>
      </c>
      <c r="D225" s="2" t="s">
        <v>168</v>
      </c>
      <c r="E225" s="26" t="s">
        <v>431</v>
      </c>
      <c r="F225" s="26" t="str">
        <f>VLOOKUP(I225,'Трансп. каталог'!$F$3:$I$743,2,0)</f>
        <v>не позднее 29.10.2025</v>
      </c>
      <c r="G225" s="68">
        <f>VLOOKUP(I225,'Трансп. каталог'!$F$3:$I$743,3,0)</f>
        <v>0</v>
      </c>
      <c r="H225" s="27" t="s">
        <v>432</v>
      </c>
      <c r="I225" s="29" t="str">
        <f t="shared" si="4"/>
        <v>061000112102025</v>
      </c>
      <c r="J225" s="44" t="s">
        <v>668</v>
      </c>
      <c r="K225" s="44" t="s">
        <v>602</v>
      </c>
      <c r="L225" s="44" t="s">
        <v>613</v>
      </c>
      <c r="M225" s="86" t="s">
        <v>602</v>
      </c>
      <c r="N225" s="91" t="s">
        <v>505</v>
      </c>
      <c r="O225" s="91" t="s">
        <v>518</v>
      </c>
      <c r="P225" s="26" t="s">
        <v>171</v>
      </c>
      <c r="Q225" s="26" t="s">
        <v>6</v>
      </c>
      <c r="R225" s="72">
        <f>VLOOKUP(I225,'Трансп. каталог'!$F$3:$I$743,4,0)</f>
        <v>0</v>
      </c>
    </row>
    <row r="226" spans="1:18" hidden="1" x14ac:dyDescent="0.2">
      <c r="A226" s="18" t="s">
        <v>170</v>
      </c>
      <c r="B226" s="3" t="s">
        <v>2</v>
      </c>
      <c r="C226" s="3" t="s">
        <v>3</v>
      </c>
      <c r="D226" s="2" t="s">
        <v>168</v>
      </c>
      <c r="E226" s="2" t="s">
        <v>435</v>
      </c>
      <c r="F226" s="2" t="str">
        <f>VLOOKUP(I226,'Трансп. каталог'!$F$3:$I$743,2,0)</f>
        <v>не позднее 28.11.2025</v>
      </c>
      <c r="G226" s="65">
        <f>VLOOKUP(I226,'Трансп. каталог'!$F$3:$I$743,3,0)</f>
        <v>0</v>
      </c>
      <c r="H226" s="18" t="s">
        <v>436</v>
      </c>
      <c r="I226" s="19" t="str">
        <f t="shared" si="4"/>
        <v>061000112112025</v>
      </c>
      <c r="J226" s="41" t="s">
        <v>557</v>
      </c>
      <c r="K226" s="41" t="s">
        <v>608</v>
      </c>
      <c r="L226" s="41" t="s">
        <v>568</v>
      </c>
      <c r="M226" s="83" t="s">
        <v>608</v>
      </c>
      <c r="N226" s="88" t="s">
        <v>506</v>
      </c>
      <c r="O226" s="88" t="s">
        <v>563</v>
      </c>
      <c r="P226" s="2" t="s">
        <v>171</v>
      </c>
      <c r="Q226" s="2" t="s">
        <v>6</v>
      </c>
      <c r="R226" s="74">
        <f>VLOOKUP(I226,'Трансп. каталог'!$F$3:$I$743,4,0)</f>
        <v>0</v>
      </c>
    </row>
    <row r="227" spans="1:18" hidden="1" x14ac:dyDescent="0.2">
      <c r="A227" s="21" t="s">
        <v>170</v>
      </c>
      <c r="B227" s="22" t="s">
        <v>2</v>
      </c>
      <c r="C227" s="22" t="s">
        <v>3</v>
      </c>
      <c r="D227" s="2" t="s">
        <v>168</v>
      </c>
      <c r="E227" s="20" t="s">
        <v>439</v>
      </c>
      <c r="F227" s="20" t="str">
        <f>VLOOKUP(I227,'Трансп. каталог'!$F$3:$I$743,2,0)</f>
        <v>26.12.2025</v>
      </c>
      <c r="G227" s="66">
        <f>VLOOKUP(I227,'Трансп. каталог'!$F$3:$I$743,3,0)</f>
        <v>0</v>
      </c>
      <c r="H227" s="21" t="s">
        <v>440</v>
      </c>
      <c r="I227" s="23" t="str">
        <f t="shared" si="4"/>
        <v>061000112122025</v>
      </c>
      <c r="J227" s="42" t="s">
        <v>618</v>
      </c>
      <c r="K227" s="42" t="s">
        <v>481</v>
      </c>
      <c r="L227" s="42" t="s">
        <v>675</v>
      </c>
      <c r="M227" s="84" t="s">
        <v>481</v>
      </c>
      <c r="N227" s="88" t="s">
        <v>665</v>
      </c>
      <c r="O227" s="88" t="s">
        <v>609</v>
      </c>
      <c r="P227" s="20" t="s">
        <v>171</v>
      </c>
      <c r="Q227" s="20" t="s">
        <v>6</v>
      </c>
      <c r="R227" s="75">
        <f>VLOOKUP(I227,'Трансп. каталог'!$F$3:$I$743,4,0)</f>
        <v>0</v>
      </c>
    </row>
    <row r="228" spans="1:18" hidden="1" x14ac:dyDescent="0.2">
      <c r="A228" s="27" t="s">
        <v>183</v>
      </c>
      <c r="B228" s="28" t="s">
        <v>2</v>
      </c>
      <c r="C228" s="28" t="s">
        <v>3</v>
      </c>
      <c r="D228" s="2" t="s">
        <v>184</v>
      </c>
      <c r="E228" s="26">
        <v>2024</v>
      </c>
      <c r="F228" s="26" t="e">
        <f>VLOOKUP(I228,'Трансп. каталог'!$F$3:$I$743,2,0)</f>
        <v>#N/A</v>
      </c>
      <c r="G228" s="68" t="e">
        <f>VLOOKUP(I228,'Трансп. каталог'!$F$3:$I$743,3,0)</f>
        <v>#N/A</v>
      </c>
      <c r="H228" s="27" t="s">
        <v>396</v>
      </c>
      <c r="I228" s="29" t="str">
        <f t="shared" si="4"/>
        <v>061000912012025</v>
      </c>
      <c r="J228" s="109">
        <v>45684</v>
      </c>
      <c r="K228" s="141" t="s">
        <v>462</v>
      </c>
      <c r="L228" s="141" t="s">
        <v>401</v>
      </c>
      <c r="M228" s="106" t="s">
        <v>462</v>
      </c>
      <c r="N228" s="115">
        <v>45679</v>
      </c>
      <c r="O228" s="115">
        <v>45681</v>
      </c>
      <c r="P228" s="26" t="s">
        <v>185</v>
      </c>
      <c r="Q228" s="26" t="s">
        <v>6</v>
      </c>
      <c r="R228" s="72"/>
    </row>
    <row r="229" spans="1:18" hidden="1" x14ac:dyDescent="0.2">
      <c r="A229" s="18" t="s">
        <v>230</v>
      </c>
      <c r="B229" s="3" t="s">
        <v>2</v>
      </c>
      <c r="C229" s="3" t="s">
        <v>3</v>
      </c>
      <c r="D229" s="2" t="s">
        <v>1135</v>
      </c>
      <c r="E229" s="2" t="s">
        <v>395</v>
      </c>
      <c r="F229" s="2" t="str">
        <f>VLOOKUP(I229,'Трансп. каталог'!$F$3:$I$743,2,0)</f>
        <v>не позднее 30.01.2025</v>
      </c>
      <c r="G229" s="65">
        <f>VLOOKUP(I229,'Трансп. каталог'!$F$3:$I$743,3,0)</f>
        <v>0</v>
      </c>
      <c r="H229" s="18" t="s">
        <v>396</v>
      </c>
      <c r="I229" s="19" t="str">
        <f t="shared" si="4"/>
        <v>061001012012025</v>
      </c>
      <c r="J229" s="93" t="s">
        <v>510</v>
      </c>
      <c r="K229" s="93" t="s">
        <v>509</v>
      </c>
      <c r="L229" s="93" t="s">
        <v>669</v>
      </c>
      <c r="M229" s="99" t="s">
        <v>509</v>
      </c>
      <c r="N229" s="95" t="s">
        <v>497</v>
      </c>
      <c r="O229" s="95" t="s">
        <v>463</v>
      </c>
      <c r="P229" s="2" t="s">
        <v>231</v>
      </c>
      <c r="Q229" s="2" t="s">
        <v>6</v>
      </c>
      <c r="R229" s="74">
        <f>VLOOKUP(I229,'Трансп. каталог'!$F$3:$I$743,4,0)</f>
        <v>0</v>
      </c>
    </row>
    <row r="230" spans="1:18" hidden="1" x14ac:dyDescent="0.2">
      <c r="A230" s="21" t="s">
        <v>230</v>
      </c>
      <c r="B230" s="22" t="s">
        <v>2</v>
      </c>
      <c r="C230" s="22" t="s">
        <v>3</v>
      </c>
      <c r="D230" s="20" t="s">
        <v>1135</v>
      </c>
      <c r="E230" s="20" t="s">
        <v>399</v>
      </c>
      <c r="F230" s="20" t="str">
        <f>VLOOKUP(I230,'Трансп. каталог'!$F$3:$I$743,2,0)</f>
        <v>не позднее 27.02.2025</v>
      </c>
      <c r="G230" s="66">
        <f>VLOOKUP(I230,'Трансп. каталог'!$F$3:$I$743,3,0)</f>
        <v>0</v>
      </c>
      <c r="H230" s="21" t="s">
        <v>400</v>
      </c>
      <c r="I230" s="23" t="str">
        <f t="shared" si="4"/>
        <v>061001012022025</v>
      </c>
      <c r="J230" s="94" t="s">
        <v>495</v>
      </c>
      <c r="K230" s="94" t="s">
        <v>670</v>
      </c>
      <c r="L230" s="94" t="s">
        <v>586</v>
      </c>
      <c r="M230" s="102" t="s">
        <v>670</v>
      </c>
      <c r="N230" s="103" t="s">
        <v>498</v>
      </c>
      <c r="O230" s="103" t="s">
        <v>605</v>
      </c>
      <c r="P230" s="20" t="s">
        <v>231</v>
      </c>
      <c r="Q230" s="20" t="s">
        <v>6</v>
      </c>
      <c r="R230" s="75">
        <f>VLOOKUP(I230,'Трансп. каталог'!$F$3:$I$743,4,0)</f>
        <v>0</v>
      </c>
    </row>
    <row r="231" spans="1:18" hidden="1" x14ac:dyDescent="0.2">
      <c r="A231" s="24" t="s">
        <v>230</v>
      </c>
      <c r="B231" s="5" t="s">
        <v>2</v>
      </c>
      <c r="C231" s="5" t="s">
        <v>3</v>
      </c>
      <c r="D231" s="4" t="s">
        <v>1135</v>
      </c>
      <c r="E231" s="4" t="s">
        <v>403</v>
      </c>
      <c r="F231" s="4" t="str">
        <f>VLOOKUP(I231,'Трансп. каталог'!$F$3:$I$743,2,0)</f>
        <v>не позднее 28.03.2025</v>
      </c>
      <c r="G231" s="67">
        <f>VLOOKUP(I231,'Трансп. каталог'!$F$3:$I$743,3,0)</f>
        <v>0</v>
      </c>
      <c r="H231" s="24" t="s">
        <v>404</v>
      </c>
      <c r="I231" s="25" t="str">
        <f t="shared" si="4"/>
        <v>061001012032025</v>
      </c>
      <c r="J231" s="110" t="s">
        <v>461</v>
      </c>
      <c r="K231" s="110" t="s">
        <v>393</v>
      </c>
      <c r="L231" s="110" t="s">
        <v>671</v>
      </c>
      <c r="M231" s="102" t="s">
        <v>393</v>
      </c>
      <c r="N231" s="103" t="s">
        <v>499</v>
      </c>
      <c r="O231" s="103" t="s">
        <v>547</v>
      </c>
      <c r="P231" s="4" t="s">
        <v>231</v>
      </c>
      <c r="Q231" s="4" t="s">
        <v>6</v>
      </c>
      <c r="R231" s="71">
        <f>VLOOKUP(I231,'Трансп. каталог'!$F$3:$I$743,4,0)</f>
        <v>0</v>
      </c>
    </row>
    <row r="232" spans="1:18" hidden="1" x14ac:dyDescent="0.2">
      <c r="A232" s="27" t="s">
        <v>230</v>
      </c>
      <c r="B232" s="28" t="s">
        <v>2</v>
      </c>
      <c r="C232" s="28" t="s">
        <v>3</v>
      </c>
      <c r="D232" s="26" t="s">
        <v>1135</v>
      </c>
      <c r="E232" s="26" t="s">
        <v>407</v>
      </c>
      <c r="F232" s="26" t="str">
        <f>VLOOKUP(I232,'Трансп. каталог'!$F$3:$I$743,2,0)</f>
        <v>не позднее 25.04.2025</v>
      </c>
      <c r="G232" s="68">
        <f>VLOOKUP(I232,'Трансп. каталог'!$F$3:$I$743,3,0)</f>
        <v>0</v>
      </c>
      <c r="H232" s="27" t="s">
        <v>408</v>
      </c>
      <c r="I232" s="29" t="str">
        <f t="shared" si="4"/>
        <v>061001012042025</v>
      </c>
      <c r="J232" s="110" t="s">
        <v>667</v>
      </c>
      <c r="K232" s="110" t="s">
        <v>603</v>
      </c>
      <c r="L232" s="110" t="s">
        <v>530</v>
      </c>
      <c r="M232" s="102" t="s">
        <v>603</v>
      </c>
      <c r="N232" s="103" t="s">
        <v>661</v>
      </c>
      <c r="O232" s="103" t="s">
        <v>529</v>
      </c>
      <c r="P232" s="26" t="s">
        <v>231</v>
      </c>
      <c r="Q232" s="26" t="s">
        <v>6</v>
      </c>
      <c r="R232" s="72">
        <f>VLOOKUP(I232,'Трансп. каталог'!$F$3:$I$743,4,0)</f>
        <v>0</v>
      </c>
    </row>
    <row r="233" spans="1:18" hidden="1" x14ac:dyDescent="0.2">
      <c r="A233" s="15" t="s">
        <v>230</v>
      </c>
      <c r="B233" s="16" t="s">
        <v>2</v>
      </c>
      <c r="C233" s="16" t="s">
        <v>3</v>
      </c>
      <c r="D233" s="14" t="s">
        <v>1135</v>
      </c>
      <c r="E233" s="14" t="s">
        <v>411</v>
      </c>
      <c r="F233" s="14" t="str">
        <f>VLOOKUP(I233,'Трансп. каталог'!$F$3:$I$743,2,0)</f>
        <v xml:space="preserve">не позднее 29.05.2025 </v>
      </c>
      <c r="G233" s="64">
        <f>VLOOKUP(I233,'Трансп. каталог'!$F$3:$I$743,3,0)</f>
        <v>0</v>
      </c>
      <c r="H233" s="15" t="s">
        <v>412</v>
      </c>
      <c r="I233" s="17" t="str">
        <f t="shared" si="4"/>
        <v>061001012052025</v>
      </c>
      <c r="J233" s="92" t="s">
        <v>565</v>
      </c>
      <c r="K233" s="92" t="s">
        <v>624</v>
      </c>
      <c r="L233" s="92" t="s">
        <v>571</v>
      </c>
      <c r="M233" s="102" t="s">
        <v>624</v>
      </c>
      <c r="N233" s="103" t="s">
        <v>625</v>
      </c>
      <c r="O233" s="103" t="s">
        <v>550</v>
      </c>
      <c r="P233" s="14" t="s">
        <v>231</v>
      </c>
      <c r="Q233" s="14" t="s">
        <v>6</v>
      </c>
      <c r="R233" s="73">
        <f>VLOOKUP(I233,'Трансп. каталог'!$F$3:$I$743,4,0)</f>
        <v>0</v>
      </c>
    </row>
    <row r="234" spans="1:18" hidden="1" x14ac:dyDescent="0.2">
      <c r="A234" s="18" t="s">
        <v>230</v>
      </c>
      <c r="B234" s="3" t="s">
        <v>2</v>
      </c>
      <c r="C234" s="3" t="s">
        <v>3</v>
      </c>
      <c r="D234" s="2" t="s">
        <v>1135</v>
      </c>
      <c r="E234" s="2" t="s">
        <v>415</v>
      </c>
      <c r="F234" s="2" t="str">
        <f>VLOOKUP(I234,'Трансп. каталог'!$F$3:$I$743,2,0)</f>
        <v>не позднее 27.06.2025</v>
      </c>
      <c r="G234" s="65">
        <f>VLOOKUP(I234,'Трансп. каталог'!$F$3:$I$743,3,0)</f>
        <v>0</v>
      </c>
      <c r="H234" s="18" t="s">
        <v>416</v>
      </c>
      <c r="I234" s="19" t="str">
        <f t="shared" si="4"/>
        <v>061001012062025</v>
      </c>
      <c r="J234" s="93" t="s">
        <v>615</v>
      </c>
      <c r="K234" s="93" t="s">
        <v>672</v>
      </c>
      <c r="L234" s="93" t="s">
        <v>533</v>
      </c>
      <c r="M234" s="102" t="s">
        <v>672</v>
      </c>
      <c r="N234" s="103" t="s">
        <v>501</v>
      </c>
      <c r="O234" s="103" t="s">
        <v>551</v>
      </c>
      <c r="P234" s="2" t="s">
        <v>231</v>
      </c>
      <c r="Q234" s="2" t="s">
        <v>6</v>
      </c>
      <c r="R234" s="74">
        <f>VLOOKUP(I234,'Трансп. каталог'!$F$3:$I$743,4,0)</f>
        <v>0</v>
      </c>
    </row>
    <row r="235" spans="1:18" hidden="1" x14ac:dyDescent="0.2">
      <c r="A235" s="21" t="s">
        <v>230</v>
      </c>
      <c r="B235" s="22" t="s">
        <v>2</v>
      </c>
      <c r="C235" s="22" t="s">
        <v>3</v>
      </c>
      <c r="D235" s="20" t="s">
        <v>1135</v>
      </c>
      <c r="E235" s="20" t="s">
        <v>419</v>
      </c>
      <c r="F235" s="20" t="str">
        <f>VLOOKUP(I235,'Трансп. каталог'!$F$3:$I$743,2,0)</f>
        <v>не позднее 29.07.2025</v>
      </c>
      <c r="G235" s="66">
        <f>VLOOKUP(I235,'Трансп. каталог'!$F$3:$I$743,3,0)</f>
        <v>0</v>
      </c>
      <c r="H235" s="21" t="s">
        <v>420</v>
      </c>
      <c r="I235" s="23" t="str">
        <f t="shared" si="4"/>
        <v>061001012072025</v>
      </c>
      <c r="J235" s="42" t="s">
        <v>580</v>
      </c>
      <c r="K235" s="42" t="s">
        <v>627</v>
      </c>
      <c r="L235" s="42" t="s">
        <v>673</v>
      </c>
      <c r="M235" s="83" t="s">
        <v>627</v>
      </c>
      <c r="N235" s="88" t="s">
        <v>502</v>
      </c>
      <c r="O235" s="88" t="s">
        <v>606</v>
      </c>
      <c r="P235" s="20" t="s">
        <v>231</v>
      </c>
      <c r="Q235" s="20" t="s">
        <v>6</v>
      </c>
      <c r="R235" s="74">
        <f>VLOOKUP(I235,'Трансп. каталог'!$F$3:$I$743,4,0)</f>
        <v>0</v>
      </c>
    </row>
    <row r="236" spans="1:18" hidden="1" x14ac:dyDescent="0.2">
      <c r="A236" s="24" t="s">
        <v>230</v>
      </c>
      <c r="B236" s="5" t="s">
        <v>2</v>
      </c>
      <c r="C236" s="5" t="s">
        <v>3</v>
      </c>
      <c r="D236" s="4" t="s">
        <v>1135</v>
      </c>
      <c r="E236" s="4" t="s">
        <v>423</v>
      </c>
      <c r="F236" s="4" t="str">
        <f>VLOOKUP(I236,'Трансп. каталог'!$F$3:$I$743,2,0)</f>
        <v>не позднее 29.08.2025</v>
      </c>
      <c r="G236" s="67">
        <f>VLOOKUP(I236,'Трансп. каталог'!$F$3:$I$743,3,0)</f>
        <v>0</v>
      </c>
      <c r="H236" s="24" t="s">
        <v>424</v>
      </c>
      <c r="I236" s="25" t="str">
        <f t="shared" si="4"/>
        <v>061001012082025</v>
      </c>
      <c r="J236" s="43" t="s">
        <v>554</v>
      </c>
      <c r="K236" s="43" t="s">
        <v>607</v>
      </c>
      <c r="L236" s="43" t="s">
        <v>566</v>
      </c>
      <c r="M236" s="83" t="s">
        <v>607</v>
      </c>
      <c r="N236" s="88" t="s">
        <v>503</v>
      </c>
      <c r="O236" s="88" t="s">
        <v>560</v>
      </c>
      <c r="P236" s="4" t="s">
        <v>231</v>
      </c>
      <c r="Q236" s="4" t="s">
        <v>6</v>
      </c>
      <c r="R236" s="74">
        <f>VLOOKUP(I236,'Трансп. каталог'!$F$3:$I$743,4,0)</f>
        <v>0</v>
      </c>
    </row>
    <row r="237" spans="1:18" hidden="1" x14ac:dyDescent="0.2">
      <c r="A237" s="27" t="s">
        <v>230</v>
      </c>
      <c r="B237" s="28" t="s">
        <v>2</v>
      </c>
      <c r="C237" s="28" t="s">
        <v>3</v>
      </c>
      <c r="D237" s="26" t="s">
        <v>1135</v>
      </c>
      <c r="E237" s="26" t="s">
        <v>427</v>
      </c>
      <c r="F237" s="26" t="str">
        <f>VLOOKUP(I237,'Трансп. каталог'!$F$3:$I$743,2,0)</f>
        <v>не позднее 26.09.2025</v>
      </c>
      <c r="G237" s="68">
        <f>VLOOKUP(I237,'Трансп. каталог'!$F$3:$I$743,3,0)</f>
        <v>0</v>
      </c>
      <c r="H237" s="27" t="s">
        <v>428</v>
      </c>
      <c r="I237" s="29" t="str">
        <f t="shared" si="4"/>
        <v>061001012092025</v>
      </c>
      <c r="J237" s="44" t="s">
        <v>616</v>
      </c>
      <c r="K237" s="44" t="s">
        <v>485</v>
      </c>
      <c r="L237" s="44" t="s">
        <v>674</v>
      </c>
      <c r="M237" s="83" t="s">
        <v>485</v>
      </c>
      <c r="N237" s="88" t="s">
        <v>630</v>
      </c>
      <c r="O237" s="88" t="s">
        <v>1368</v>
      </c>
      <c r="P237" s="26" t="s">
        <v>231</v>
      </c>
      <c r="Q237" s="26" t="s">
        <v>6</v>
      </c>
      <c r="R237" s="74">
        <f>VLOOKUP(I237,'Трансп. каталог'!$F$3:$I$743,4,0)</f>
        <v>0</v>
      </c>
    </row>
    <row r="238" spans="1:18" hidden="1" x14ac:dyDescent="0.2">
      <c r="A238" s="18" t="s">
        <v>230</v>
      </c>
      <c r="B238" s="3" t="s">
        <v>2</v>
      </c>
      <c r="C238" s="3" t="s">
        <v>3</v>
      </c>
      <c r="D238" s="2" t="s">
        <v>1135</v>
      </c>
      <c r="E238" s="2" t="s">
        <v>431</v>
      </c>
      <c r="F238" s="2" t="str">
        <f>VLOOKUP(I238,'Трансп. каталог'!$F$3:$I$743,2,0)</f>
        <v>не позднее  29.10.2025</v>
      </c>
      <c r="G238" s="65">
        <f>VLOOKUP(I238,'Трансп. каталог'!$F$3:$I$743,3,0)</f>
        <v>0</v>
      </c>
      <c r="H238" s="18" t="s">
        <v>432</v>
      </c>
      <c r="I238" s="19" t="str">
        <f t="shared" si="4"/>
        <v>061001012102025</v>
      </c>
      <c r="J238" s="41" t="s">
        <v>668</v>
      </c>
      <c r="K238" s="41" t="s">
        <v>602</v>
      </c>
      <c r="L238" s="41" t="s">
        <v>613</v>
      </c>
      <c r="M238" s="83" t="s">
        <v>602</v>
      </c>
      <c r="N238" s="88" t="s">
        <v>505</v>
      </c>
      <c r="O238" s="88" t="s">
        <v>518</v>
      </c>
      <c r="P238" s="2" t="s">
        <v>231</v>
      </c>
      <c r="Q238" s="2" t="s">
        <v>6</v>
      </c>
      <c r="R238" s="74">
        <f>VLOOKUP(I238,'Трансп. каталог'!$F$3:$I$743,4,0)</f>
        <v>0</v>
      </c>
    </row>
    <row r="239" spans="1:18" hidden="1" x14ac:dyDescent="0.2">
      <c r="A239" s="21" t="s">
        <v>230</v>
      </c>
      <c r="B239" s="22" t="s">
        <v>2</v>
      </c>
      <c r="C239" s="22" t="s">
        <v>3</v>
      </c>
      <c r="D239" s="20" t="s">
        <v>1135</v>
      </c>
      <c r="E239" s="20" t="s">
        <v>435</v>
      </c>
      <c r="F239" s="20" t="str">
        <f>VLOOKUP(I239,'Трансп. каталог'!$F$3:$I$743,2,0)</f>
        <v>не позднее 28.11.2025</v>
      </c>
      <c r="G239" s="66">
        <f>VLOOKUP(I239,'Трансп. каталог'!$F$3:$I$743,3,0)</f>
        <v>0</v>
      </c>
      <c r="H239" s="21" t="s">
        <v>436</v>
      </c>
      <c r="I239" s="23" t="str">
        <f t="shared" si="4"/>
        <v>061001012112025</v>
      </c>
      <c r="J239" s="42" t="s">
        <v>557</v>
      </c>
      <c r="K239" s="42" t="s">
        <v>608</v>
      </c>
      <c r="L239" s="42" t="s">
        <v>568</v>
      </c>
      <c r="M239" s="84" t="s">
        <v>608</v>
      </c>
      <c r="N239" s="89" t="s">
        <v>506</v>
      </c>
      <c r="O239" s="89" t="s">
        <v>563</v>
      </c>
      <c r="P239" s="20" t="s">
        <v>231</v>
      </c>
      <c r="Q239" s="20" t="s">
        <v>6</v>
      </c>
      <c r="R239" s="74">
        <f>VLOOKUP(I239,'Трансп. каталог'!$F$3:$I$743,4,0)</f>
        <v>0</v>
      </c>
    </row>
    <row r="240" spans="1:18" hidden="1" x14ac:dyDescent="0.2">
      <c r="A240" s="24" t="s">
        <v>230</v>
      </c>
      <c r="B240" s="5" t="s">
        <v>2</v>
      </c>
      <c r="C240" s="5" t="s">
        <v>3</v>
      </c>
      <c r="D240" s="4" t="s">
        <v>1135</v>
      </c>
      <c r="E240" s="4" t="s">
        <v>439</v>
      </c>
      <c r="F240" s="4" t="str">
        <f>VLOOKUP(I240,'Трансп. каталог'!$F$3:$I$743,2,0)</f>
        <v>26.12.2025</v>
      </c>
      <c r="G240" s="67">
        <f>VLOOKUP(I240,'Трансп. каталог'!$F$3:$I$743,3,0)</f>
        <v>0</v>
      </c>
      <c r="H240" s="24" t="s">
        <v>440</v>
      </c>
      <c r="I240" s="25" t="str">
        <f t="shared" si="4"/>
        <v>061001012122025</v>
      </c>
      <c r="J240" s="43" t="s">
        <v>618</v>
      </c>
      <c r="K240" s="43" t="s">
        <v>481</v>
      </c>
      <c r="L240" s="43" t="s">
        <v>675</v>
      </c>
      <c r="M240" s="85" t="s">
        <v>481</v>
      </c>
      <c r="N240" s="89" t="s">
        <v>665</v>
      </c>
      <c r="O240" s="89" t="s">
        <v>609</v>
      </c>
      <c r="P240" s="4" t="s">
        <v>231</v>
      </c>
      <c r="Q240" s="4" t="s">
        <v>6</v>
      </c>
      <c r="R240" s="74">
        <f>VLOOKUP(I240,'Трансп. каталог'!$F$3:$I$743,4,0)</f>
        <v>0</v>
      </c>
    </row>
    <row r="241" spans="1:18" hidden="1" x14ac:dyDescent="0.2">
      <c r="A241" s="24" t="s">
        <v>224</v>
      </c>
      <c r="B241" s="5" t="s">
        <v>2</v>
      </c>
      <c r="C241" s="5" t="s">
        <v>3</v>
      </c>
      <c r="D241" s="4" t="s">
        <v>225</v>
      </c>
      <c r="E241" s="4" t="s">
        <v>395</v>
      </c>
      <c r="F241" s="4" t="str">
        <f>VLOOKUP(I241,'Трансп. каталог'!$F$3:$I$743,2,0)</f>
        <v>30.01.2025</v>
      </c>
      <c r="G241" s="67">
        <f>VLOOKUP(I241,'Трансп. каталог'!$F$3:$I$743,3,0)</f>
        <v>0</v>
      </c>
      <c r="H241" s="24" t="s">
        <v>396</v>
      </c>
      <c r="I241" s="25" t="str">
        <f t="shared" si="4"/>
        <v>061001312012025</v>
      </c>
      <c r="J241" s="110" t="s">
        <v>510</v>
      </c>
      <c r="K241" s="110" t="s">
        <v>509</v>
      </c>
      <c r="L241" s="110" t="s">
        <v>523</v>
      </c>
      <c r="M241" s="104" t="s">
        <v>509</v>
      </c>
      <c r="N241" s="105" t="s">
        <v>497</v>
      </c>
      <c r="O241" s="105" t="s">
        <v>463</v>
      </c>
      <c r="P241" s="4" t="s">
        <v>174</v>
      </c>
      <c r="Q241" s="4" t="s">
        <v>226</v>
      </c>
      <c r="R241" s="74">
        <f>VLOOKUP(I241,'Трансп. каталог'!$F$3:$I$743,4,0)</f>
        <v>0</v>
      </c>
    </row>
    <row r="242" spans="1:18" hidden="1" x14ac:dyDescent="0.2">
      <c r="A242" s="24" t="s">
        <v>224</v>
      </c>
      <c r="B242" s="5" t="s">
        <v>2</v>
      </c>
      <c r="C242" s="5" t="s">
        <v>3</v>
      </c>
      <c r="D242" s="4" t="s">
        <v>225</v>
      </c>
      <c r="E242" s="4" t="s">
        <v>399</v>
      </c>
      <c r="F242" s="4" t="str">
        <f>VLOOKUP(I242,'Трансп. каталог'!$F$3:$I$743,2,0)</f>
        <v>27.02.2025</v>
      </c>
      <c r="G242" s="67">
        <f>VLOOKUP(I242,'Трансп. каталог'!$F$3:$I$743,3,0)</f>
        <v>0</v>
      </c>
      <c r="H242" s="24" t="s">
        <v>400</v>
      </c>
      <c r="I242" s="25" t="str">
        <f t="shared" si="4"/>
        <v>061001312022025</v>
      </c>
      <c r="J242" s="110" t="s">
        <v>495</v>
      </c>
      <c r="K242" s="110" t="s">
        <v>670</v>
      </c>
      <c r="L242" s="110" t="s">
        <v>525</v>
      </c>
      <c r="M242" s="104" t="s">
        <v>670</v>
      </c>
      <c r="N242" s="105" t="s">
        <v>498</v>
      </c>
      <c r="O242" s="105" t="s">
        <v>605</v>
      </c>
      <c r="P242" s="4" t="s">
        <v>174</v>
      </c>
      <c r="Q242" s="4" t="s">
        <v>226</v>
      </c>
      <c r="R242" s="74">
        <f>VLOOKUP(I242,'Трансп. каталог'!$F$3:$I$743,4,0)</f>
        <v>0</v>
      </c>
    </row>
    <row r="243" spans="1:18" hidden="1" x14ac:dyDescent="0.2">
      <c r="A243" s="24" t="s">
        <v>224</v>
      </c>
      <c r="B243" s="5" t="s">
        <v>2</v>
      </c>
      <c r="C243" s="5" t="s">
        <v>3</v>
      </c>
      <c r="D243" s="4" t="s">
        <v>225</v>
      </c>
      <c r="E243" s="4" t="s">
        <v>403</v>
      </c>
      <c r="F243" s="4">
        <f>VLOOKUP(I243,'Трансп. каталог'!$F$3:$I$743,2,0)</f>
        <v>45744</v>
      </c>
      <c r="G243" s="67">
        <f>VLOOKUP(I243,'Трансп. каталог'!$F$3:$I$743,3,0)</f>
        <v>0</v>
      </c>
      <c r="H243" s="24" t="s">
        <v>404</v>
      </c>
      <c r="I243" s="25" t="str">
        <f t="shared" si="4"/>
        <v>061001312032025</v>
      </c>
      <c r="J243" s="110" t="s">
        <v>461</v>
      </c>
      <c r="K243" s="110" t="s">
        <v>393</v>
      </c>
      <c r="L243" s="110" t="s">
        <v>527</v>
      </c>
      <c r="M243" s="104" t="s">
        <v>393</v>
      </c>
      <c r="N243" s="105" t="s">
        <v>499</v>
      </c>
      <c r="O243" s="105" t="s">
        <v>547</v>
      </c>
      <c r="P243" s="4" t="s">
        <v>174</v>
      </c>
      <c r="Q243" s="4" t="s">
        <v>226</v>
      </c>
      <c r="R243" s="74">
        <f>VLOOKUP(I243,'Трансп. каталог'!$F$3:$I$743,4,0)</f>
        <v>0</v>
      </c>
    </row>
    <row r="244" spans="1:18" hidden="1" x14ac:dyDescent="0.2">
      <c r="A244" s="24" t="s">
        <v>224</v>
      </c>
      <c r="B244" s="5" t="s">
        <v>2</v>
      </c>
      <c r="C244" s="5" t="s">
        <v>3</v>
      </c>
      <c r="D244" s="4" t="s">
        <v>225</v>
      </c>
      <c r="E244" s="4" t="s">
        <v>407</v>
      </c>
      <c r="F244" s="4" t="str">
        <f>VLOOKUP(I244,'Трансп. каталог'!$F$3:$I$743,2,0)</f>
        <v>29.04.2025</v>
      </c>
      <c r="G244" s="67">
        <f>VLOOKUP(I244,'Трансп. каталог'!$F$3:$I$743,3,0)</f>
        <v>0</v>
      </c>
      <c r="H244" s="24" t="s">
        <v>408</v>
      </c>
      <c r="I244" s="25" t="str">
        <f t="shared" si="4"/>
        <v>061001312042025</v>
      </c>
      <c r="J244" s="110" t="s">
        <v>667</v>
      </c>
      <c r="K244" s="110" t="s">
        <v>603</v>
      </c>
      <c r="L244" s="110" t="s">
        <v>696</v>
      </c>
      <c r="M244" s="104" t="s">
        <v>603</v>
      </c>
      <c r="N244" s="105" t="s">
        <v>661</v>
      </c>
      <c r="O244" s="105" t="s">
        <v>529</v>
      </c>
      <c r="P244" s="4" t="s">
        <v>174</v>
      </c>
      <c r="Q244" s="4" t="s">
        <v>226</v>
      </c>
      <c r="R244" s="74">
        <f>VLOOKUP(I244,'Трансп. каталог'!$F$3:$I$743,4,0)</f>
        <v>0</v>
      </c>
    </row>
    <row r="245" spans="1:18" hidden="1" x14ac:dyDescent="0.2">
      <c r="A245" s="24" t="s">
        <v>224</v>
      </c>
      <c r="B245" s="5" t="s">
        <v>2</v>
      </c>
      <c r="C245" s="5" t="s">
        <v>3</v>
      </c>
      <c r="D245" s="4" t="s">
        <v>225</v>
      </c>
      <c r="E245" s="4" t="s">
        <v>411</v>
      </c>
      <c r="F245" s="4" t="str">
        <f>VLOOKUP(I245,'Трансп. каталог'!$F$3:$I$743,2,0)</f>
        <v>29.05.2025</v>
      </c>
      <c r="G245" s="67">
        <f>VLOOKUP(I245,'Трансп. каталог'!$F$3:$I$743,3,0)</f>
        <v>0</v>
      </c>
      <c r="H245" s="24" t="s">
        <v>412</v>
      </c>
      <c r="I245" s="25" t="str">
        <f t="shared" si="4"/>
        <v>061001312052025</v>
      </c>
      <c r="J245" s="110" t="s">
        <v>565</v>
      </c>
      <c r="K245" s="110" t="s">
        <v>624</v>
      </c>
      <c r="L245" s="110" t="s">
        <v>594</v>
      </c>
      <c r="M245" s="104" t="s">
        <v>624</v>
      </c>
      <c r="N245" s="105" t="s">
        <v>625</v>
      </c>
      <c r="O245" s="105" t="s">
        <v>550</v>
      </c>
      <c r="P245" s="4" t="s">
        <v>174</v>
      </c>
      <c r="Q245" s="4" t="s">
        <v>226</v>
      </c>
      <c r="R245" s="74">
        <f>VLOOKUP(I245,'Трансп. каталог'!$F$3:$I$743,4,0)</f>
        <v>0</v>
      </c>
    </row>
    <row r="246" spans="1:18" hidden="1" x14ac:dyDescent="0.2">
      <c r="A246" s="24" t="s">
        <v>224</v>
      </c>
      <c r="B246" s="5" t="s">
        <v>2</v>
      </c>
      <c r="C246" s="5" t="s">
        <v>3</v>
      </c>
      <c r="D246" s="4" t="s">
        <v>225</v>
      </c>
      <c r="E246" s="4" t="s">
        <v>415</v>
      </c>
      <c r="F246" s="4" t="str">
        <f>VLOOKUP(I246,'Трансп. каталог'!$F$3:$I$743,2,0)</f>
        <v>27.06.2025</v>
      </c>
      <c r="G246" s="67">
        <f>VLOOKUP(I246,'Трансп. каталог'!$F$3:$I$743,3,0)</f>
        <v>0</v>
      </c>
      <c r="H246" s="24" t="s">
        <v>416</v>
      </c>
      <c r="I246" s="25" t="str">
        <f t="shared" si="4"/>
        <v>061001312062025</v>
      </c>
      <c r="J246" s="110" t="s">
        <v>615</v>
      </c>
      <c r="K246" s="110" t="s">
        <v>483</v>
      </c>
      <c r="L246" s="110" t="s">
        <v>578</v>
      </c>
      <c r="M246" s="104" t="s">
        <v>483</v>
      </c>
      <c r="N246" s="105" t="s">
        <v>501</v>
      </c>
      <c r="O246" s="105" t="s">
        <v>551</v>
      </c>
      <c r="P246" s="4" t="s">
        <v>174</v>
      </c>
      <c r="Q246" s="4" t="s">
        <v>226</v>
      </c>
      <c r="R246" s="74">
        <f>VLOOKUP(I246,'Трансп. каталог'!$F$3:$I$743,4,0)</f>
        <v>0</v>
      </c>
    </row>
    <row r="247" spans="1:18" hidden="1" x14ac:dyDescent="0.2">
      <c r="A247" s="24" t="s">
        <v>224</v>
      </c>
      <c r="B247" s="5" t="s">
        <v>2</v>
      </c>
      <c r="C247" s="5" t="s">
        <v>3</v>
      </c>
      <c r="D247" s="4" t="s">
        <v>225</v>
      </c>
      <c r="E247" s="4" t="s">
        <v>419</v>
      </c>
      <c r="F247" s="4" t="str">
        <f>VLOOKUP(I247,'Трансп. каталог'!$F$3:$I$743,2,0)</f>
        <v>30.07.2025</v>
      </c>
      <c r="G247" s="67">
        <f>VLOOKUP(I247,'Трансп. каталог'!$F$3:$I$743,3,0)</f>
        <v>0</v>
      </c>
      <c r="H247" s="24" t="s">
        <v>420</v>
      </c>
      <c r="I247" s="25" t="str">
        <f t="shared" si="4"/>
        <v>061001312072025</v>
      </c>
      <c r="J247" s="43" t="s">
        <v>580</v>
      </c>
      <c r="K247" s="43" t="s">
        <v>627</v>
      </c>
      <c r="L247" s="43" t="s">
        <v>535</v>
      </c>
      <c r="M247" s="85" t="s">
        <v>627</v>
      </c>
      <c r="N247" s="90" t="s">
        <v>502</v>
      </c>
      <c r="O247" s="90" t="s">
        <v>606</v>
      </c>
      <c r="P247" s="4" t="s">
        <v>174</v>
      </c>
      <c r="Q247" s="4" t="s">
        <v>226</v>
      </c>
      <c r="R247" s="74">
        <f>VLOOKUP(I247,'Трансп. каталог'!$F$3:$I$743,4,0)</f>
        <v>0</v>
      </c>
    </row>
    <row r="248" spans="1:18" hidden="1" x14ac:dyDescent="0.2">
      <c r="A248" s="24" t="s">
        <v>224</v>
      </c>
      <c r="B248" s="5" t="s">
        <v>2</v>
      </c>
      <c r="C248" s="5" t="s">
        <v>3</v>
      </c>
      <c r="D248" s="4" t="s">
        <v>225</v>
      </c>
      <c r="E248" s="4" t="s">
        <v>423</v>
      </c>
      <c r="F248" s="4">
        <f>VLOOKUP(I248,'Трансп. каталог'!$F$3:$I$743,2,0)</f>
        <v>45897</v>
      </c>
      <c r="G248" s="67">
        <f>VLOOKUP(I248,'Трансп. каталог'!$F$3:$I$743,3,0)</f>
        <v>0</v>
      </c>
      <c r="H248" s="24" t="s">
        <v>424</v>
      </c>
      <c r="I248" s="25" t="str">
        <f t="shared" si="4"/>
        <v>061001312082025</v>
      </c>
      <c r="J248" s="43" t="s">
        <v>554</v>
      </c>
      <c r="K248" s="43" t="s">
        <v>607</v>
      </c>
      <c r="L248" s="43" t="s">
        <v>582</v>
      </c>
      <c r="M248" s="85" t="s">
        <v>607</v>
      </c>
      <c r="N248" s="90" t="s">
        <v>503</v>
      </c>
      <c r="O248" s="90" t="s">
        <v>560</v>
      </c>
      <c r="P248" s="4" t="s">
        <v>174</v>
      </c>
      <c r="Q248" s="4" t="s">
        <v>226</v>
      </c>
      <c r="R248" s="74">
        <f>VLOOKUP(I248,'Трансп. каталог'!$F$3:$I$743,4,0)</f>
        <v>0</v>
      </c>
    </row>
    <row r="249" spans="1:18" hidden="1" x14ac:dyDescent="0.2">
      <c r="A249" s="27" t="s">
        <v>224</v>
      </c>
      <c r="B249" s="28" t="s">
        <v>2</v>
      </c>
      <c r="C249" s="28" t="s">
        <v>3</v>
      </c>
      <c r="D249" s="26" t="s">
        <v>225</v>
      </c>
      <c r="E249" s="26" t="s">
        <v>427</v>
      </c>
      <c r="F249" s="26" t="str">
        <f>VLOOKUP(I249,'Трансп. каталог'!$F$3:$I$743,2,0)</f>
        <v>29.09.2025</v>
      </c>
      <c r="G249" s="68">
        <f>VLOOKUP(I249,'Трансп. каталог'!$F$3:$I$743,3,0)</f>
        <v>0</v>
      </c>
      <c r="H249" s="27" t="s">
        <v>428</v>
      </c>
      <c r="I249" s="29" t="str">
        <f t="shared" si="4"/>
        <v>061001312092025</v>
      </c>
      <c r="J249" s="44" t="s">
        <v>616</v>
      </c>
      <c r="K249" s="44" t="s">
        <v>485</v>
      </c>
      <c r="L249" s="44" t="s">
        <v>539</v>
      </c>
      <c r="M249" s="86" t="s">
        <v>485</v>
      </c>
      <c r="N249" s="91" t="s">
        <v>630</v>
      </c>
      <c r="O249" s="91" t="s">
        <v>1368</v>
      </c>
      <c r="P249" s="26" t="s">
        <v>174</v>
      </c>
      <c r="Q249" s="26" t="s">
        <v>226</v>
      </c>
      <c r="R249" s="74">
        <f>VLOOKUP(I249,'Трансп. каталог'!$F$3:$I$743,4,0)</f>
        <v>0</v>
      </c>
    </row>
    <row r="250" spans="1:18" hidden="1" x14ac:dyDescent="0.2">
      <c r="A250" s="15" t="s">
        <v>224</v>
      </c>
      <c r="B250" s="16" t="s">
        <v>2</v>
      </c>
      <c r="C250" s="16" t="s">
        <v>3</v>
      </c>
      <c r="D250" s="14" t="s">
        <v>225</v>
      </c>
      <c r="E250" s="14" t="s">
        <v>431</v>
      </c>
      <c r="F250" s="14" t="str">
        <f>VLOOKUP(I250,'Трансп. каталог'!$F$3:$I$743,2,0)</f>
        <v>30.10.2025</v>
      </c>
      <c r="G250" s="64">
        <f>VLOOKUP(I250,'Трансп. каталог'!$F$3:$I$743,3,0)</f>
        <v>0</v>
      </c>
      <c r="H250" s="15" t="s">
        <v>432</v>
      </c>
      <c r="I250" s="17" t="str">
        <f t="shared" si="4"/>
        <v>061001312102025</v>
      </c>
      <c r="J250" s="40" t="s">
        <v>668</v>
      </c>
      <c r="K250" s="40" t="s">
        <v>602</v>
      </c>
      <c r="L250" s="40" t="s">
        <v>588</v>
      </c>
      <c r="M250" s="82" t="s">
        <v>602</v>
      </c>
      <c r="N250" s="87" t="s">
        <v>505</v>
      </c>
      <c r="O250" s="87" t="s">
        <v>518</v>
      </c>
      <c r="P250" s="14" t="s">
        <v>174</v>
      </c>
      <c r="Q250" s="14" t="s">
        <v>226</v>
      </c>
      <c r="R250" s="73">
        <f>VLOOKUP(I250,'Трансп. каталог'!$F$3:$I$743,4,0)</f>
        <v>0</v>
      </c>
    </row>
    <row r="251" spans="1:18" hidden="1" x14ac:dyDescent="0.2">
      <c r="A251" s="18" t="s">
        <v>224</v>
      </c>
      <c r="B251" s="3" t="s">
        <v>2</v>
      </c>
      <c r="C251" s="3" t="s">
        <v>3</v>
      </c>
      <c r="D251" s="2" t="s">
        <v>225</v>
      </c>
      <c r="E251" s="2" t="s">
        <v>435</v>
      </c>
      <c r="F251" s="2" t="str">
        <f>VLOOKUP(I251,'Трансп. каталог'!$F$3:$I$743,2,0)</f>
        <v>27.11.2025</v>
      </c>
      <c r="G251" s="65">
        <f>VLOOKUP(I251,'Трансп. каталог'!$F$3:$I$743,3,0)</f>
        <v>0</v>
      </c>
      <c r="H251" s="18" t="s">
        <v>436</v>
      </c>
      <c r="I251" s="19" t="str">
        <f t="shared" si="4"/>
        <v>061001312112025</v>
      </c>
      <c r="J251" s="41" t="s">
        <v>557</v>
      </c>
      <c r="K251" s="41" t="s">
        <v>608</v>
      </c>
      <c r="L251" s="41" t="s">
        <v>584</v>
      </c>
      <c r="M251" s="83" t="s">
        <v>608</v>
      </c>
      <c r="N251" s="88" t="s">
        <v>506</v>
      </c>
      <c r="O251" s="88" t="s">
        <v>563</v>
      </c>
      <c r="P251" s="2" t="s">
        <v>174</v>
      </c>
      <c r="Q251" s="2" t="s">
        <v>226</v>
      </c>
      <c r="R251" s="74">
        <f>VLOOKUP(I251,'Трансп. каталог'!$F$3:$I$743,4,0)</f>
        <v>0</v>
      </c>
    </row>
    <row r="252" spans="1:18" hidden="1" x14ac:dyDescent="0.2">
      <c r="A252" s="21" t="s">
        <v>224</v>
      </c>
      <c r="B252" s="22" t="s">
        <v>2</v>
      </c>
      <c r="C252" s="22" t="s">
        <v>3</v>
      </c>
      <c r="D252" s="20" t="s">
        <v>225</v>
      </c>
      <c r="E252" s="20" t="s">
        <v>439</v>
      </c>
      <c r="F252" s="20" t="str">
        <f>VLOOKUP(I252,'Трансп. каталог'!$F$3:$I$743,2,0)</f>
        <v>29.12.2025</v>
      </c>
      <c r="G252" s="66">
        <f>VLOOKUP(I252,'Трансп. каталог'!$F$3:$I$743,3,0)</f>
        <v>0</v>
      </c>
      <c r="H252" s="21" t="s">
        <v>440</v>
      </c>
      <c r="I252" s="23" t="str">
        <f t="shared" si="4"/>
        <v>061001312122025</v>
      </c>
      <c r="J252" s="42" t="s">
        <v>618</v>
      </c>
      <c r="K252" s="154">
        <v>46031</v>
      </c>
      <c r="L252" s="42" t="s">
        <v>657</v>
      </c>
      <c r="M252" s="84" t="s">
        <v>462</v>
      </c>
      <c r="N252" s="89" t="s">
        <v>665</v>
      </c>
      <c r="O252" s="89" t="s">
        <v>609</v>
      </c>
      <c r="P252" s="20" t="s">
        <v>174</v>
      </c>
      <c r="Q252" s="20" t="s">
        <v>226</v>
      </c>
      <c r="R252" s="75">
        <f>VLOOKUP(I252,'Трансп. каталог'!$F$3:$I$743,4,0)</f>
        <v>0</v>
      </c>
    </row>
    <row r="253" spans="1:18" hidden="1" x14ac:dyDescent="0.2">
      <c r="A253" s="24" t="s">
        <v>164</v>
      </c>
      <c r="B253" s="5" t="s">
        <v>12</v>
      </c>
      <c r="C253" s="5" t="s">
        <v>3</v>
      </c>
      <c r="D253" s="4" t="s">
        <v>165</v>
      </c>
      <c r="E253" s="4" t="s">
        <v>395</v>
      </c>
      <c r="F253" s="4" t="str">
        <f>VLOOKUP(I253,'Трансп. каталог'!$F$3:$I$743,2,0)</f>
        <v>не позднее 12.12.2024</v>
      </c>
      <c r="G253" s="67">
        <f>VLOOKUP(I253,'Трансп. каталог'!$F$3:$I$743,3,0)</f>
        <v>0</v>
      </c>
      <c r="H253" s="24" t="s">
        <v>396</v>
      </c>
      <c r="I253" s="25" t="str">
        <f t="shared" si="4"/>
        <v>061001912012025</v>
      </c>
      <c r="J253" s="110" t="s">
        <v>543</v>
      </c>
      <c r="K253" s="110" t="s">
        <v>653</v>
      </c>
      <c r="L253" s="110" t="s">
        <v>666</v>
      </c>
      <c r="M253" s="139">
        <v>45666</v>
      </c>
      <c r="N253" s="105" t="s">
        <v>1401</v>
      </c>
      <c r="O253" s="105" t="s">
        <v>1401</v>
      </c>
      <c r="P253" s="4" t="s">
        <v>166</v>
      </c>
      <c r="Q253" s="4" t="s">
        <v>10</v>
      </c>
      <c r="R253" s="71" t="s">
        <v>1402</v>
      </c>
    </row>
    <row r="254" spans="1:18" hidden="1" x14ac:dyDescent="0.2">
      <c r="A254" s="27" t="s">
        <v>164</v>
      </c>
      <c r="B254" s="28" t="s">
        <v>12</v>
      </c>
      <c r="C254" s="28" t="s">
        <v>3</v>
      </c>
      <c r="D254" s="26" t="s">
        <v>165</v>
      </c>
      <c r="E254" s="26" t="s">
        <v>399</v>
      </c>
      <c r="F254" s="26" t="e">
        <f>VLOOKUP(I254,'Трансп. каталог'!$F$3:$I$743,2,0)</f>
        <v>#N/A</v>
      </c>
      <c r="G254" s="68" t="e">
        <f>VLOOKUP(I254,'Трансп. каталог'!$F$3:$I$743,3,0)</f>
        <v>#N/A</v>
      </c>
      <c r="H254" s="27" t="s">
        <v>400</v>
      </c>
      <c r="I254" s="29" t="str">
        <f t="shared" si="4"/>
        <v>061001912022025</v>
      </c>
      <c r="J254" s="141" t="s">
        <v>658</v>
      </c>
      <c r="K254" s="141" t="s">
        <v>619</v>
      </c>
      <c r="L254" s="141" t="s">
        <v>510</v>
      </c>
      <c r="M254" s="160" t="s">
        <v>619</v>
      </c>
      <c r="N254" s="107" t="s">
        <v>460</v>
      </c>
      <c r="O254" s="107" t="s">
        <v>620</v>
      </c>
      <c r="P254" s="26" t="s">
        <v>166</v>
      </c>
      <c r="Q254" s="26" t="s">
        <v>10</v>
      </c>
      <c r="R254" s="72" t="s">
        <v>1402</v>
      </c>
    </row>
    <row r="255" spans="1:18" hidden="1" x14ac:dyDescent="0.2">
      <c r="A255" s="15" t="s">
        <v>164</v>
      </c>
      <c r="B255" s="16" t="s">
        <v>12</v>
      </c>
      <c r="C255" s="16" t="s">
        <v>3</v>
      </c>
      <c r="D255" s="14" t="s">
        <v>165</v>
      </c>
      <c r="E255" s="14" t="s">
        <v>403</v>
      </c>
      <c r="F255" s="14" t="e">
        <f>VLOOKUP(I255,'Трансп. каталог'!$F$3:$I$743,2,0)</f>
        <v>#N/A</v>
      </c>
      <c r="G255" s="64" t="e">
        <f>VLOOKUP(I255,'Трансп. каталог'!$F$3:$I$743,3,0)</f>
        <v>#N/A</v>
      </c>
      <c r="H255" s="15" t="s">
        <v>404</v>
      </c>
      <c r="I255" s="17" t="str">
        <f t="shared" si="4"/>
        <v>061001912032025</v>
      </c>
      <c r="J255" s="92" t="s">
        <v>659</v>
      </c>
      <c r="K255" s="92" t="s">
        <v>621</v>
      </c>
      <c r="L255" s="92" t="s">
        <v>495</v>
      </c>
      <c r="M255" s="98" t="s">
        <v>621</v>
      </c>
      <c r="N255" s="97" t="s">
        <v>465</v>
      </c>
      <c r="O255" s="97" t="s">
        <v>622</v>
      </c>
      <c r="P255" s="14" t="s">
        <v>166</v>
      </c>
      <c r="Q255" s="14" t="s">
        <v>10</v>
      </c>
      <c r="R255" s="73" t="s">
        <v>1402</v>
      </c>
    </row>
    <row r="256" spans="1:18" hidden="1" x14ac:dyDescent="0.2">
      <c r="A256" s="18" t="s">
        <v>164</v>
      </c>
      <c r="B256" s="3" t="s">
        <v>12</v>
      </c>
      <c r="C256" s="3" t="s">
        <v>3</v>
      </c>
      <c r="D256" s="2" t="s">
        <v>165</v>
      </c>
      <c r="E256" s="2" t="s">
        <v>407</v>
      </c>
      <c r="F256" s="2" t="e">
        <f>VLOOKUP(I256,'Трансп. каталог'!$F$3:$I$743,2,0)</f>
        <v>#N/A</v>
      </c>
      <c r="G256" s="65" t="e">
        <f>VLOOKUP(I256,'Трансп. каталог'!$F$3:$I$743,3,0)</f>
        <v>#N/A</v>
      </c>
      <c r="H256" s="18" t="s">
        <v>408</v>
      </c>
      <c r="I256" s="19" t="str">
        <f t="shared" si="4"/>
        <v>061001912042025</v>
      </c>
      <c r="J256" s="93" t="s">
        <v>521</v>
      </c>
      <c r="K256" s="93" t="s">
        <v>393</v>
      </c>
      <c r="L256" s="93" t="s">
        <v>461</v>
      </c>
      <c r="M256" s="115" t="s">
        <v>393</v>
      </c>
      <c r="N256" s="95" t="s">
        <v>591</v>
      </c>
      <c r="O256" s="95" t="s">
        <v>499</v>
      </c>
      <c r="P256" s="2" t="s">
        <v>166</v>
      </c>
      <c r="Q256" s="2" t="s">
        <v>10</v>
      </c>
      <c r="R256" s="74" t="s">
        <v>1402</v>
      </c>
    </row>
    <row r="257" spans="1:18" hidden="1" x14ac:dyDescent="0.2">
      <c r="A257" s="21" t="s">
        <v>164</v>
      </c>
      <c r="B257" s="22" t="s">
        <v>12</v>
      </c>
      <c r="C257" s="22" t="s">
        <v>3</v>
      </c>
      <c r="D257" s="20" t="s">
        <v>165</v>
      </c>
      <c r="E257" s="20" t="s">
        <v>411</v>
      </c>
      <c r="F257" s="20" t="e">
        <f>VLOOKUP(I257,'Трансп. каталог'!$F$3:$I$743,2,0)</f>
        <v>#N/A</v>
      </c>
      <c r="G257" s="66" t="e">
        <f>VLOOKUP(I257,'Трансп. каталог'!$F$3:$I$743,3,0)</f>
        <v>#N/A</v>
      </c>
      <c r="H257" s="21" t="s">
        <v>412</v>
      </c>
      <c r="I257" s="23" t="str">
        <f t="shared" si="4"/>
        <v>061001912052025</v>
      </c>
      <c r="J257" s="94" t="s">
        <v>549</v>
      </c>
      <c r="K257" s="94" t="s">
        <v>623</v>
      </c>
      <c r="L257" s="94" t="s">
        <v>667</v>
      </c>
      <c r="M257" s="137" t="s">
        <v>623</v>
      </c>
      <c r="N257" s="103" t="s">
        <v>603</v>
      </c>
      <c r="O257" s="103" t="s">
        <v>711</v>
      </c>
      <c r="P257" s="20" t="s">
        <v>166</v>
      </c>
      <c r="Q257" s="20" t="s">
        <v>10</v>
      </c>
      <c r="R257" s="74" t="s">
        <v>1402</v>
      </c>
    </row>
    <row r="258" spans="1:18" hidden="1" x14ac:dyDescent="0.2">
      <c r="A258" s="24" t="s">
        <v>164</v>
      </c>
      <c r="B258" s="5" t="s">
        <v>12</v>
      </c>
      <c r="C258" s="5" t="s">
        <v>3</v>
      </c>
      <c r="D258" s="4" t="s">
        <v>165</v>
      </c>
      <c r="E258" s="4" t="s">
        <v>415</v>
      </c>
      <c r="F258" s="4" t="e">
        <f>VLOOKUP(I258,'Трансп. каталог'!$F$3:$I$743,2,0)</f>
        <v>#N/A</v>
      </c>
      <c r="G258" s="67" t="e">
        <f>VLOOKUP(I258,'Трансп. каталог'!$F$3:$I$743,3,0)</f>
        <v>#N/A</v>
      </c>
      <c r="H258" s="24" t="s">
        <v>416</v>
      </c>
      <c r="I258" s="25" t="str">
        <f t="shared" si="4"/>
        <v>061001912062025</v>
      </c>
      <c r="J258" s="110" t="s">
        <v>445</v>
      </c>
      <c r="K258" s="110" t="s">
        <v>646</v>
      </c>
      <c r="L258" s="110" t="s">
        <v>565</v>
      </c>
      <c r="M258" s="139" t="s">
        <v>646</v>
      </c>
      <c r="N258" s="105" t="s">
        <v>712</v>
      </c>
      <c r="O258" s="105" t="s">
        <v>593</v>
      </c>
      <c r="P258" s="4" t="s">
        <v>166</v>
      </c>
      <c r="Q258" s="4" t="s">
        <v>10</v>
      </c>
      <c r="R258" s="74" t="s">
        <v>1402</v>
      </c>
    </row>
    <row r="259" spans="1:18" hidden="1" x14ac:dyDescent="0.2">
      <c r="A259" s="27" t="s">
        <v>164</v>
      </c>
      <c r="B259" s="28" t="s">
        <v>12</v>
      </c>
      <c r="C259" s="28" t="s">
        <v>3</v>
      </c>
      <c r="D259" s="26" t="s">
        <v>165</v>
      </c>
      <c r="E259" s="26" t="s">
        <v>419</v>
      </c>
      <c r="F259" s="26" t="e">
        <f>VLOOKUP(I259,'Трансп. каталог'!$F$3:$I$743,2,0)</f>
        <v>#N/A</v>
      </c>
      <c r="G259" s="68" t="e">
        <f>VLOOKUP(I259,'Трансп. каталог'!$F$3:$I$743,3,0)</f>
        <v>#N/A</v>
      </c>
      <c r="H259" s="27" t="s">
        <v>420</v>
      </c>
      <c r="I259" s="29" t="str">
        <f t="shared" si="4"/>
        <v>061001912072025</v>
      </c>
      <c r="J259" s="141" t="s">
        <v>648</v>
      </c>
      <c r="K259" s="141" t="s">
        <v>483</v>
      </c>
      <c r="L259" s="141" t="s">
        <v>615</v>
      </c>
      <c r="M259" s="160" t="s">
        <v>483</v>
      </c>
      <c r="N259" s="107" t="s">
        <v>595</v>
      </c>
      <c r="O259" s="107" t="s">
        <v>501</v>
      </c>
      <c r="P259" s="26" t="s">
        <v>166</v>
      </c>
      <c r="Q259" s="26" t="s">
        <v>10</v>
      </c>
      <c r="R259" s="74" t="s">
        <v>1402</v>
      </c>
    </row>
    <row r="260" spans="1:18" hidden="1" x14ac:dyDescent="0.2">
      <c r="A260" s="15" t="s">
        <v>164</v>
      </c>
      <c r="B260" s="16" t="s">
        <v>12</v>
      </c>
      <c r="C260" s="16" t="s">
        <v>3</v>
      </c>
      <c r="D260" s="14" t="s">
        <v>165</v>
      </c>
      <c r="E260" s="14" t="s">
        <v>423</v>
      </c>
      <c r="F260" s="14" t="e">
        <f>VLOOKUP(I260,'Трансп. каталог'!$F$3:$I$743,2,0)</f>
        <v>#N/A</v>
      </c>
      <c r="G260" s="64" t="e">
        <f>VLOOKUP(I260,'Трансп. каталог'!$F$3:$I$743,3,0)</f>
        <v>#N/A</v>
      </c>
      <c r="H260" s="15" t="s">
        <v>424</v>
      </c>
      <c r="I260" s="17" t="str">
        <f t="shared" si="4"/>
        <v>061001912082025</v>
      </c>
      <c r="J260" s="40" t="s">
        <v>502</v>
      </c>
      <c r="K260" s="40" t="s">
        <v>627</v>
      </c>
      <c r="L260" s="40" t="s">
        <v>580</v>
      </c>
      <c r="M260" s="98" t="s">
        <v>627</v>
      </c>
      <c r="N260" s="97" t="s">
        <v>597</v>
      </c>
      <c r="O260" s="97" t="s">
        <v>628</v>
      </c>
      <c r="P260" s="14" t="s">
        <v>166</v>
      </c>
      <c r="Q260" s="14" t="s">
        <v>10</v>
      </c>
      <c r="R260" s="73" t="s">
        <v>1402</v>
      </c>
    </row>
    <row r="261" spans="1:18" hidden="1" x14ac:dyDescent="0.2">
      <c r="A261" s="15" t="s">
        <v>164</v>
      </c>
      <c r="B261" s="16" t="s">
        <v>12</v>
      </c>
      <c r="C261" s="16" t="s">
        <v>3</v>
      </c>
      <c r="D261" s="14" t="s">
        <v>165</v>
      </c>
      <c r="E261" s="14" t="s">
        <v>427</v>
      </c>
      <c r="F261" s="14" t="e">
        <f>VLOOKUP(I261,'Трансп. каталог'!$F$3:$I$743,2,0)</f>
        <v>#N/A</v>
      </c>
      <c r="G261" s="64" t="e">
        <f>VLOOKUP(I261,'Трансп. каталог'!$F$3:$I$743,3,0)</f>
        <v>#N/A</v>
      </c>
      <c r="H261" s="15" t="s">
        <v>428</v>
      </c>
      <c r="I261" s="17" t="str">
        <f t="shared" si="4"/>
        <v>061001912092025</v>
      </c>
      <c r="J261" s="40" t="s">
        <v>649</v>
      </c>
      <c r="K261" s="40" t="s">
        <v>607</v>
      </c>
      <c r="L261" s="40" t="s">
        <v>554</v>
      </c>
      <c r="M261" s="98" t="s">
        <v>607</v>
      </c>
      <c r="N261" s="97" t="s">
        <v>629</v>
      </c>
      <c r="O261" s="97" t="s">
        <v>503</v>
      </c>
      <c r="P261" s="14" t="s">
        <v>166</v>
      </c>
      <c r="Q261" s="14" t="s">
        <v>10</v>
      </c>
      <c r="R261" s="73" t="s">
        <v>1402</v>
      </c>
    </row>
    <row r="262" spans="1:18" hidden="1" x14ac:dyDescent="0.2">
      <c r="A262" s="15" t="s">
        <v>164</v>
      </c>
      <c r="B262" s="16" t="s">
        <v>12</v>
      </c>
      <c r="C262" s="16" t="s">
        <v>3</v>
      </c>
      <c r="D262" s="14" t="s">
        <v>165</v>
      </c>
      <c r="E262" s="14" t="s">
        <v>431</v>
      </c>
      <c r="F262" s="14" t="e">
        <f>VLOOKUP(I262,'Трансп. каталог'!$F$3:$I$743,2,0)</f>
        <v>#N/A</v>
      </c>
      <c r="G262" s="64" t="e">
        <f>VLOOKUP(I262,'Трансп. каталог'!$F$3:$I$743,3,0)</f>
        <v>#N/A</v>
      </c>
      <c r="H262" s="15" t="s">
        <v>432</v>
      </c>
      <c r="I262" s="17" t="str">
        <f t="shared" si="4"/>
        <v>061001912102025</v>
      </c>
      <c r="J262" s="40" t="s">
        <v>1368</v>
      </c>
      <c r="K262" s="40" t="s">
        <v>485</v>
      </c>
      <c r="L262" s="40" t="s">
        <v>616</v>
      </c>
      <c r="M262" s="98" t="s">
        <v>485</v>
      </c>
      <c r="N262" s="97" t="s">
        <v>600</v>
      </c>
      <c r="O262" s="97" t="s">
        <v>504</v>
      </c>
      <c r="P262" s="14" t="s">
        <v>166</v>
      </c>
      <c r="Q262" s="14" t="s">
        <v>10</v>
      </c>
      <c r="R262" s="73" t="s">
        <v>1402</v>
      </c>
    </row>
    <row r="263" spans="1:18" hidden="1" x14ac:dyDescent="0.2">
      <c r="A263" s="15" t="s">
        <v>164</v>
      </c>
      <c r="B263" s="16" t="s">
        <v>12</v>
      </c>
      <c r="C263" s="16" t="s">
        <v>3</v>
      </c>
      <c r="D263" s="14" t="s">
        <v>165</v>
      </c>
      <c r="E263" s="14" t="s">
        <v>435</v>
      </c>
      <c r="F263" s="14" t="e">
        <f>VLOOKUP(I263,'Трансп. каталог'!$F$3:$I$743,2,0)</f>
        <v>#N/A</v>
      </c>
      <c r="G263" s="64" t="e">
        <f>VLOOKUP(I263,'Трансп. каталог'!$F$3:$I$743,3,0)</f>
        <v>#N/A</v>
      </c>
      <c r="H263" s="15" t="s">
        <v>436</v>
      </c>
      <c r="I263" s="17" t="str">
        <f t="shared" si="4"/>
        <v>061001912112025</v>
      </c>
      <c r="J263" s="40" t="s">
        <v>695</v>
      </c>
      <c r="K263" s="40" t="s">
        <v>602</v>
      </c>
      <c r="L263" s="40" t="s">
        <v>668</v>
      </c>
      <c r="M263" s="98" t="s">
        <v>602</v>
      </c>
      <c r="N263" s="97" t="s">
        <v>434</v>
      </c>
      <c r="O263" s="97" t="s">
        <v>631</v>
      </c>
      <c r="P263" s="14" t="s">
        <v>166</v>
      </c>
      <c r="Q263" s="14" t="s">
        <v>10</v>
      </c>
      <c r="R263" s="73" t="s">
        <v>1402</v>
      </c>
    </row>
    <row r="264" spans="1:18" hidden="1" x14ac:dyDescent="0.2">
      <c r="A264" s="15" t="s">
        <v>164</v>
      </c>
      <c r="B264" s="16" t="s">
        <v>12</v>
      </c>
      <c r="C264" s="16" t="s">
        <v>3</v>
      </c>
      <c r="D264" s="14" t="s">
        <v>165</v>
      </c>
      <c r="E264" s="14" t="s">
        <v>439</v>
      </c>
      <c r="F264" s="14" t="e">
        <f>VLOOKUP(I264,'Трансп. каталог'!$F$3:$I$743,2,0)</f>
        <v>#N/A</v>
      </c>
      <c r="G264" s="64" t="e">
        <f>VLOOKUP(I264,'Трансп. каталог'!$F$3:$I$743,3,0)</f>
        <v>#N/A</v>
      </c>
      <c r="H264" s="15" t="s">
        <v>440</v>
      </c>
      <c r="I264" s="17" t="str">
        <f t="shared" si="4"/>
        <v>061001912122025</v>
      </c>
      <c r="J264" s="40" t="s">
        <v>652</v>
      </c>
      <c r="K264" s="40" t="s">
        <v>608</v>
      </c>
      <c r="L264" s="40" t="s">
        <v>557</v>
      </c>
      <c r="M264" s="98" t="s">
        <v>608</v>
      </c>
      <c r="N264" s="97" t="s">
        <v>632</v>
      </c>
      <c r="O264" s="97" t="s">
        <v>506</v>
      </c>
      <c r="P264" s="14" t="s">
        <v>166</v>
      </c>
      <c r="Q264" s="14" t="s">
        <v>10</v>
      </c>
      <c r="R264" s="73" t="s">
        <v>1402</v>
      </c>
    </row>
    <row r="265" spans="1:18" hidden="1" x14ac:dyDescent="0.2">
      <c r="A265" s="15" t="s">
        <v>172</v>
      </c>
      <c r="B265" s="16" t="s">
        <v>2</v>
      </c>
      <c r="C265" s="16" t="s">
        <v>3</v>
      </c>
      <c r="D265" s="14" t="s">
        <v>173</v>
      </c>
      <c r="E265" s="14">
        <v>2024</v>
      </c>
      <c r="F265" s="14" t="str">
        <f>VLOOKUP(I265,'Трансп. каталог'!$F$3:$I$743,2,0)</f>
        <v>не позднее 28.12.2024</v>
      </c>
      <c r="G265" s="64" t="str">
        <f>VLOOKUP(I265,'Трансп. каталог'!$F$3:$I$743,3,0)</f>
        <v xml:space="preserve">с 1-го официального 
рабочего дня января 
по 10 февраля
</v>
      </c>
      <c r="H265" s="15" t="s">
        <v>392</v>
      </c>
      <c r="I265" s="17" t="str">
        <f t="shared" si="4"/>
        <v>061003501012024</v>
      </c>
      <c r="J265" s="92" t="s">
        <v>658</v>
      </c>
      <c r="K265" s="92" t="s">
        <v>462</v>
      </c>
      <c r="L265" s="92" t="s">
        <v>622</v>
      </c>
      <c r="M265" s="96" t="s">
        <v>462</v>
      </c>
      <c r="N265" s="97" t="s">
        <v>460</v>
      </c>
      <c r="O265" s="97" t="s">
        <v>620</v>
      </c>
      <c r="P265" s="14" t="s">
        <v>174</v>
      </c>
      <c r="Q265" s="14" t="s">
        <v>6</v>
      </c>
      <c r="R265" s="73">
        <f>VLOOKUP(I265,'Трансп. каталог'!$F$3:$I$743,4,0)</f>
        <v>0</v>
      </c>
    </row>
    <row r="266" spans="1:18" hidden="1" x14ac:dyDescent="0.2">
      <c r="A266" s="15" t="s">
        <v>191</v>
      </c>
      <c r="B266" s="16" t="s">
        <v>12</v>
      </c>
      <c r="C266" s="16" t="s">
        <v>3</v>
      </c>
      <c r="D266" s="14" t="s">
        <v>192</v>
      </c>
      <c r="E266" s="14">
        <v>2024</v>
      </c>
      <c r="F266" s="14" t="str">
        <f>VLOOKUP(I266,'Трансп. каталог'!$F$3:$I$743,2,0)</f>
        <v>не позднее 28.12.2024</v>
      </c>
      <c r="G266" s="64" t="str">
        <f>VLOOKUP(I266,'Трансп. каталог'!$F$3:$I$743,3,0)</f>
        <v>с 1-го рабочего дня января по 1 февраля
после отчетного периода</v>
      </c>
      <c r="H266" s="15" t="s">
        <v>392</v>
      </c>
      <c r="I266" s="17" t="str">
        <f t="shared" si="4"/>
        <v>061003601012024</v>
      </c>
      <c r="J266" s="92" t="s">
        <v>619</v>
      </c>
      <c r="K266" s="92" t="s">
        <v>462</v>
      </c>
      <c r="L266" s="92" t="s">
        <v>405</v>
      </c>
      <c r="M266" s="96" t="s">
        <v>462</v>
      </c>
      <c r="N266" s="97" t="s">
        <v>470</v>
      </c>
      <c r="O266" s="97" t="s">
        <v>397</v>
      </c>
      <c r="P266" s="14" t="s">
        <v>166</v>
      </c>
      <c r="Q266" s="14" t="s">
        <v>33</v>
      </c>
      <c r="R266" s="73">
        <f>VLOOKUP(I266,'Трансп. каталог'!$F$3:$I$743,4,0)</f>
        <v>0</v>
      </c>
    </row>
    <row r="267" spans="1:18" hidden="1" x14ac:dyDescent="0.2">
      <c r="A267" s="18" t="s">
        <v>234</v>
      </c>
      <c r="B267" s="3" t="s">
        <v>2</v>
      </c>
      <c r="C267" s="3" t="s">
        <v>3</v>
      </c>
      <c r="D267" s="2" t="s">
        <v>1415</v>
      </c>
      <c r="E267" s="2" t="s">
        <v>395</v>
      </c>
      <c r="F267" s="2" t="str">
        <f>VLOOKUP(I267,'Трансп. каталог'!$F$3:$I$743,2,0)</f>
        <v>не позднее 29.01.2025</v>
      </c>
      <c r="G267" s="65">
        <f>VLOOKUP(I267,'Трансп. каталог'!$F$3:$I$743,3,0)</f>
        <v>0</v>
      </c>
      <c r="H267" s="18" t="s">
        <v>396</v>
      </c>
      <c r="I267" s="19" t="str">
        <f t="shared" si="4"/>
        <v>061005412012025</v>
      </c>
      <c r="J267" s="93" t="s">
        <v>510</v>
      </c>
      <c r="K267" s="93" t="s">
        <v>509</v>
      </c>
      <c r="L267" s="93" t="s">
        <v>523</v>
      </c>
      <c r="M267" s="99" t="s">
        <v>509</v>
      </c>
      <c r="N267" s="95" t="s">
        <v>497</v>
      </c>
      <c r="O267" s="95" t="s">
        <v>463</v>
      </c>
      <c r="P267" s="2" t="s">
        <v>235</v>
      </c>
      <c r="Q267" s="2" t="s">
        <v>226</v>
      </c>
      <c r="R267" s="74">
        <f>VLOOKUP(I267,'Трансп. каталог'!$F$3:$I$743,4,0)</f>
        <v>0</v>
      </c>
    </row>
    <row r="268" spans="1:18" hidden="1" x14ac:dyDescent="0.2">
      <c r="A268" s="21" t="s">
        <v>234</v>
      </c>
      <c r="B268" s="22" t="s">
        <v>2</v>
      </c>
      <c r="C268" s="22" t="s">
        <v>3</v>
      </c>
      <c r="D268" s="20" t="s">
        <v>1415</v>
      </c>
      <c r="E268" s="20" t="s">
        <v>399</v>
      </c>
      <c r="F268" s="20" t="str">
        <f>VLOOKUP(I268,'Трансп. каталог'!$F$3:$I$743,2,0)</f>
        <v>не позднее 27.02.2025</v>
      </c>
      <c r="G268" s="66">
        <f>VLOOKUP(I268,'Трансп. каталог'!$F$3:$I$743,3,0)</f>
        <v>0</v>
      </c>
      <c r="H268" s="21" t="s">
        <v>400</v>
      </c>
      <c r="I268" s="23" t="str">
        <f t="shared" si="4"/>
        <v>061005412022025</v>
      </c>
      <c r="J268" s="94" t="s">
        <v>495</v>
      </c>
      <c r="K268" s="94" t="s">
        <v>670</v>
      </c>
      <c r="L268" s="94" t="s">
        <v>525</v>
      </c>
      <c r="M268" s="102" t="s">
        <v>670</v>
      </c>
      <c r="N268" s="103" t="s">
        <v>498</v>
      </c>
      <c r="O268" s="103" t="s">
        <v>605</v>
      </c>
      <c r="P268" s="20" t="s">
        <v>235</v>
      </c>
      <c r="Q268" s="20" t="s">
        <v>226</v>
      </c>
      <c r="R268" s="75">
        <f>VLOOKUP(I268,'Трансп. каталог'!$F$3:$I$743,4,0)</f>
        <v>0</v>
      </c>
    </row>
    <row r="269" spans="1:18" hidden="1" x14ac:dyDescent="0.2">
      <c r="A269" s="24" t="s">
        <v>234</v>
      </c>
      <c r="B269" s="5" t="s">
        <v>2</v>
      </c>
      <c r="C269" s="5" t="s">
        <v>3</v>
      </c>
      <c r="D269" s="4" t="s">
        <v>1415</v>
      </c>
      <c r="E269" s="4" t="s">
        <v>403</v>
      </c>
      <c r="F269" s="4" t="str">
        <f>VLOOKUP(I269,'Трансп. каталог'!$F$3:$I$743,2,0)</f>
        <v>не позднее 28.03.2025</v>
      </c>
      <c r="G269" s="67">
        <f>VLOOKUP(I269,'Трансп. каталог'!$F$3:$I$743,3,0)</f>
        <v>0</v>
      </c>
      <c r="H269" s="24" t="s">
        <v>404</v>
      </c>
      <c r="I269" s="25" t="str">
        <f t="shared" si="4"/>
        <v>061005412032025</v>
      </c>
      <c r="J269" s="110" t="s">
        <v>461</v>
      </c>
      <c r="K269" s="110" t="s">
        <v>393</v>
      </c>
      <c r="L269" s="110" t="s">
        <v>527</v>
      </c>
      <c r="M269" s="104" t="s">
        <v>393</v>
      </c>
      <c r="N269" s="105" t="s">
        <v>521</v>
      </c>
      <c r="O269" s="105" t="s">
        <v>547</v>
      </c>
      <c r="P269" s="4" t="s">
        <v>235</v>
      </c>
      <c r="Q269" s="4" t="s">
        <v>226</v>
      </c>
      <c r="R269" s="71">
        <f>VLOOKUP(I269,'Трансп. каталог'!$F$3:$I$743,4,0)</f>
        <v>0</v>
      </c>
    </row>
    <row r="270" spans="1:18" hidden="1" x14ac:dyDescent="0.2">
      <c r="A270" s="27" t="s">
        <v>234</v>
      </c>
      <c r="B270" s="28" t="s">
        <v>2</v>
      </c>
      <c r="C270" s="28" t="s">
        <v>3</v>
      </c>
      <c r="D270" s="26" t="s">
        <v>1415</v>
      </c>
      <c r="E270" s="26" t="s">
        <v>407</v>
      </c>
      <c r="F270" s="26" t="str">
        <f>VLOOKUP(I270,'Трансп. каталог'!$F$3:$I$743,2,0)</f>
        <v>не позднее 25.04.2025</v>
      </c>
      <c r="G270" s="68">
        <f>VLOOKUP(I270,'Трансп. каталог'!$F$3:$I$743,3,0)</f>
        <v>0</v>
      </c>
      <c r="H270" s="27" t="s">
        <v>408</v>
      </c>
      <c r="I270" s="29" t="str">
        <f t="shared" si="4"/>
        <v>061005412042025</v>
      </c>
      <c r="J270" s="141" t="s">
        <v>667</v>
      </c>
      <c r="K270" s="141" t="s">
        <v>603</v>
      </c>
      <c r="L270" s="141" t="s">
        <v>696</v>
      </c>
      <c r="M270" s="214" t="s">
        <v>603</v>
      </c>
      <c r="N270" s="215" t="s">
        <v>661</v>
      </c>
      <c r="O270" s="215" t="s">
        <v>529</v>
      </c>
      <c r="P270" s="26" t="s">
        <v>235</v>
      </c>
      <c r="Q270" s="26" t="s">
        <v>226</v>
      </c>
      <c r="R270" s="72">
        <f>VLOOKUP(I270,'Трансп. каталог'!$F$3:$I$743,4,0)</f>
        <v>0</v>
      </c>
    </row>
    <row r="271" spans="1:18" hidden="1" x14ac:dyDescent="0.2">
      <c r="A271" s="18" t="s">
        <v>234</v>
      </c>
      <c r="B271" s="3" t="s">
        <v>2</v>
      </c>
      <c r="C271" s="3" t="s">
        <v>3</v>
      </c>
      <c r="D271" s="2" t="s">
        <v>1415</v>
      </c>
      <c r="E271" s="2" t="s">
        <v>411</v>
      </c>
      <c r="F271" s="2" t="str">
        <f>VLOOKUP(I271,'Трансп. каталог'!$F$3:$I$743,2,0)</f>
        <v xml:space="preserve">не позднее 28.05.2025 </v>
      </c>
      <c r="G271" s="65">
        <f>VLOOKUP(I271,'Трансп. каталог'!$F$3:$I$743,3,0)</f>
        <v>0</v>
      </c>
      <c r="H271" s="18" t="s">
        <v>412</v>
      </c>
      <c r="I271" s="19" t="str">
        <f t="shared" si="4"/>
        <v>061005412052025</v>
      </c>
      <c r="J271" s="94" t="s">
        <v>565</v>
      </c>
      <c r="K271" s="94" t="s">
        <v>624</v>
      </c>
      <c r="L271" s="94" t="s">
        <v>594</v>
      </c>
      <c r="M271" s="106" t="s">
        <v>624</v>
      </c>
      <c r="N271" s="107" t="s">
        <v>625</v>
      </c>
      <c r="O271" s="107" t="s">
        <v>550</v>
      </c>
      <c r="P271" s="2" t="s">
        <v>235</v>
      </c>
      <c r="Q271" s="2" t="s">
        <v>226</v>
      </c>
      <c r="R271" s="74">
        <f>VLOOKUP(I271,'Трансп. каталог'!$F$3:$I$743,4,0)</f>
        <v>0</v>
      </c>
    </row>
    <row r="272" spans="1:18" hidden="1" x14ac:dyDescent="0.2">
      <c r="A272" s="21" t="s">
        <v>234</v>
      </c>
      <c r="B272" s="22" t="s">
        <v>2</v>
      </c>
      <c r="C272" s="22" t="s">
        <v>3</v>
      </c>
      <c r="D272" s="20" t="s">
        <v>1415</v>
      </c>
      <c r="E272" s="20" t="s">
        <v>415</v>
      </c>
      <c r="F272" s="20" t="str">
        <f>VLOOKUP(I272,'Трансп. каталог'!$F$3:$I$743,2,0)</f>
        <v>не позднее 27.06.2025</v>
      </c>
      <c r="G272" s="66">
        <f>VLOOKUP(I272,'Трансп. каталог'!$F$3:$I$743,3,0)</f>
        <v>0</v>
      </c>
      <c r="H272" s="21" t="s">
        <v>416</v>
      </c>
      <c r="I272" s="23" t="str">
        <f t="shared" si="4"/>
        <v>061005412062025</v>
      </c>
      <c r="J272" s="110" t="s">
        <v>615</v>
      </c>
      <c r="K272" s="110" t="s">
        <v>672</v>
      </c>
      <c r="L272" s="110" t="s">
        <v>578</v>
      </c>
      <c r="M272" s="106" t="s">
        <v>672</v>
      </c>
      <c r="N272" s="107" t="s">
        <v>501</v>
      </c>
      <c r="O272" s="107" t="s">
        <v>551</v>
      </c>
      <c r="P272" s="20" t="s">
        <v>235</v>
      </c>
      <c r="Q272" s="20" t="s">
        <v>226</v>
      </c>
      <c r="R272" s="75">
        <f>VLOOKUP(I272,'Трансп. каталог'!$F$3:$I$743,4,0)</f>
        <v>0</v>
      </c>
    </row>
    <row r="273" spans="1:18" hidden="1" x14ac:dyDescent="0.2">
      <c r="A273" s="24" t="s">
        <v>234</v>
      </c>
      <c r="B273" s="5" t="s">
        <v>2</v>
      </c>
      <c r="C273" s="5" t="s">
        <v>3</v>
      </c>
      <c r="D273" s="4" t="s">
        <v>1415</v>
      </c>
      <c r="E273" s="4" t="s">
        <v>419</v>
      </c>
      <c r="F273" s="4" t="str">
        <f>VLOOKUP(I273,'Трансп. каталог'!$F$3:$I$743,2,0)</f>
        <v>не позднее 29.07.2025</v>
      </c>
      <c r="G273" s="67">
        <f>VLOOKUP(I273,'Трансп. каталог'!$F$3:$I$743,3,0)</f>
        <v>0</v>
      </c>
      <c r="H273" s="24" t="s">
        <v>420</v>
      </c>
      <c r="I273" s="25" t="str">
        <f t="shared" si="4"/>
        <v>061005412072025</v>
      </c>
      <c r="J273" s="44" t="s">
        <v>580</v>
      </c>
      <c r="K273" s="44" t="s">
        <v>627</v>
      </c>
      <c r="L273" s="44" t="s">
        <v>535</v>
      </c>
      <c r="M273" s="85" t="s">
        <v>627</v>
      </c>
      <c r="N273" s="90" t="s">
        <v>502</v>
      </c>
      <c r="O273" s="90" t="s">
        <v>606</v>
      </c>
      <c r="P273" s="4" t="s">
        <v>235</v>
      </c>
      <c r="Q273" s="4" t="s">
        <v>226</v>
      </c>
      <c r="R273" s="71">
        <f>VLOOKUP(I273,'Трансп. каталог'!$F$3:$I$743,4,0)</f>
        <v>0</v>
      </c>
    </row>
    <row r="274" spans="1:18" hidden="1" x14ac:dyDescent="0.2">
      <c r="A274" s="27" t="s">
        <v>234</v>
      </c>
      <c r="B274" s="28" t="s">
        <v>2</v>
      </c>
      <c r="C274" s="28" t="s">
        <v>3</v>
      </c>
      <c r="D274" s="26" t="s">
        <v>1415</v>
      </c>
      <c r="E274" s="26" t="s">
        <v>423</v>
      </c>
      <c r="F274" s="26" t="str">
        <f>VLOOKUP(I274,'Трансп. каталог'!$F$3:$I$743,2,0)</f>
        <v>не позднее 29.08.2025</v>
      </c>
      <c r="G274" s="68">
        <f>VLOOKUP(I274,'Трансп. каталог'!$F$3:$I$743,3,0)</f>
        <v>0</v>
      </c>
      <c r="H274" s="27" t="s">
        <v>424</v>
      </c>
      <c r="I274" s="29" t="str">
        <f t="shared" si="4"/>
        <v>061005412082025</v>
      </c>
      <c r="J274" s="44" t="s">
        <v>554</v>
      </c>
      <c r="K274" s="44" t="s">
        <v>607</v>
      </c>
      <c r="L274" s="44" t="s">
        <v>582</v>
      </c>
      <c r="M274" s="86" t="s">
        <v>607</v>
      </c>
      <c r="N274" s="91" t="s">
        <v>503</v>
      </c>
      <c r="O274" s="91" t="s">
        <v>560</v>
      </c>
      <c r="P274" s="26" t="s">
        <v>235</v>
      </c>
      <c r="Q274" s="26" t="s">
        <v>226</v>
      </c>
      <c r="R274" s="72">
        <f>VLOOKUP(I274,'Трансп. каталог'!$F$3:$I$743,4,0)</f>
        <v>0</v>
      </c>
    </row>
    <row r="275" spans="1:18" hidden="1" x14ac:dyDescent="0.2">
      <c r="A275" s="18" t="s">
        <v>234</v>
      </c>
      <c r="B275" s="3" t="s">
        <v>2</v>
      </c>
      <c r="C275" s="3" t="s">
        <v>3</v>
      </c>
      <c r="D275" s="2" t="s">
        <v>1415</v>
      </c>
      <c r="E275" s="2" t="s">
        <v>427</v>
      </c>
      <c r="F275" s="2" t="str">
        <f>VLOOKUP(I275,'Трансп. каталог'!$F$3:$I$743,2,0)</f>
        <v>не позднее 26.09.2025</v>
      </c>
      <c r="G275" s="65">
        <f>VLOOKUP(I275,'Трансп. каталог'!$F$3:$I$743,3,0)</f>
        <v>0</v>
      </c>
      <c r="H275" s="18" t="s">
        <v>428</v>
      </c>
      <c r="I275" s="19" t="str">
        <f t="shared" si="4"/>
        <v>061005412092025</v>
      </c>
      <c r="J275" s="41" t="s">
        <v>616</v>
      </c>
      <c r="K275" s="41" t="s">
        <v>485</v>
      </c>
      <c r="L275" s="41" t="s">
        <v>539</v>
      </c>
      <c r="M275" s="83" t="s">
        <v>485</v>
      </c>
      <c r="N275" s="88" t="s">
        <v>630</v>
      </c>
      <c r="O275" s="88" t="s">
        <v>1368</v>
      </c>
      <c r="P275" s="2" t="s">
        <v>235</v>
      </c>
      <c r="Q275" s="2" t="s">
        <v>226</v>
      </c>
      <c r="R275" s="74">
        <f>VLOOKUP(I275,'Трансп. каталог'!$F$3:$I$743,4,0)</f>
        <v>0</v>
      </c>
    </row>
    <row r="276" spans="1:18" hidden="1" x14ac:dyDescent="0.2">
      <c r="A276" s="21" t="s">
        <v>234</v>
      </c>
      <c r="B276" s="22" t="s">
        <v>2</v>
      </c>
      <c r="C276" s="22" t="s">
        <v>3</v>
      </c>
      <c r="D276" s="20" t="s">
        <v>1415</v>
      </c>
      <c r="E276" s="20" t="s">
        <v>431</v>
      </c>
      <c r="F276" s="20" t="str">
        <f>VLOOKUP(I276,'Трансп. каталог'!$F$3:$I$743,2,0)</f>
        <v>не позднее 28.10.2025</v>
      </c>
      <c r="G276" s="66">
        <f>VLOOKUP(I276,'Трансп. каталог'!$F$3:$I$743,3,0)</f>
        <v>0</v>
      </c>
      <c r="H276" s="21" t="s">
        <v>432</v>
      </c>
      <c r="I276" s="23" t="str">
        <f t="shared" ref="I276:I338" si="5">CONCATENATE(A276,H276)</f>
        <v>061005412102025</v>
      </c>
      <c r="J276" s="42" t="s">
        <v>668</v>
      </c>
      <c r="K276" s="42" t="s">
        <v>602</v>
      </c>
      <c r="L276" s="42" t="s">
        <v>588</v>
      </c>
      <c r="M276" s="84" t="s">
        <v>602</v>
      </c>
      <c r="N276" s="89" t="s">
        <v>505</v>
      </c>
      <c r="O276" s="89" t="s">
        <v>518</v>
      </c>
      <c r="P276" s="20" t="s">
        <v>235</v>
      </c>
      <c r="Q276" s="20" t="s">
        <v>226</v>
      </c>
      <c r="R276" s="75">
        <f>VLOOKUP(I276,'Трансп. каталог'!$F$3:$I$743,4,0)</f>
        <v>0</v>
      </c>
    </row>
    <row r="277" spans="1:18" hidden="1" x14ac:dyDescent="0.2">
      <c r="A277" s="24" t="s">
        <v>234</v>
      </c>
      <c r="B277" s="5" t="s">
        <v>2</v>
      </c>
      <c r="C277" s="5" t="s">
        <v>3</v>
      </c>
      <c r="D277" s="4" t="s">
        <v>1415</v>
      </c>
      <c r="E277" s="4" t="s">
        <v>435</v>
      </c>
      <c r="F277" s="4" t="str">
        <f>VLOOKUP(I277,'Трансп. каталог'!$F$3:$I$743,2,0)</f>
        <v>не позднее 27.11.2025</v>
      </c>
      <c r="G277" s="67">
        <f>VLOOKUP(I277,'Трансп. каталог'!$F$3:$I$743,3,0)</f>
        <v>0</v>
      </c>
      <c r="H277" s="24" t="s">
        <v>436</v>
      </c>
      <c r="I277" s="25" t="str">
        <f t="shared" si="5"/>
        <v>061005412112025</v>
      </c>
      <c r="J277" s="43" t="s">
        <v>557</v>
      </c>
      <c r="K277" s="43" t="s">
        <v>608</v>
      </c>
      <c r="L277" s="43" t="s">
        <v>584</v>
      </c>
      <c r="M277" s="85" t="s">
        <v>608</v>
      </c>
      <c r="N277" s="90" t="s">
        <v>506</v>
      </c>
      <c r="O277" s="90" t="s">
        <v>563</v>
      </c>
      <c r="P277" s="4" t="s">
        <v>235</v>
      </c>
      <c r="Q277" s="4" t="s">
        <v>226</v>
      </c>
      <c r="R277" s="71">
        <f>VLOOKUP(I277,'Трансп. каталог'!$F$3:$I$743,4,0)</f>
        <v>0</v>
      </c>
    </row>
    <row r="278" spans="1:18" hidden="1" x14ac:dyDescent="0.2">
      <c r="A278" s="27" t="s">
        <v>234</v>
      </c>
      <c r="B278" s="28" t="s">
        <v>2</v>
      </c>
      <c r="C278" s="28" t="s">
        <v>3</v>
      </c>
      <c r="D278" s="26" t="s">
        <v>1415</v>
      </c>
      <c r="E278" s="26" t="s">
        <v>439</v>
      </c>
      <c r="F278" s="26" t="str">
        <f>VLOOKUP(I278,'Трансп. каталог'!$F$3:$I$743,2,0)</f>
        <v>26.12.2025</v>
      </c>
      <c r="G278" s="68">
        <f>VLOOKUP(I278,'Трансп. каталог'!$F$3:$I$743,3,0)</f>
        <v>0</v>
      </c>
      <c r="H278" s="27" t="s">
        <v>440</v>
      </c>
      <c r="I278" s="29" t="str">
        <f t="shared" si="5"/>
        <v>061005412122025</v>
      </c>
      <c r="J278" s="44" t="s">
        <v>609</v>
      </c>
      <c r="K278" s="44" t="s">
        <v>481</v>
      </c>
      <c r="L278" s="44" t="s">
        <v>657</v>
      </c>
      <c r="M278" s="86" t="s">
        <v>481</v>
      </c>
      <c r="N278" s="91" t="s">
        <v>1392</v>
      </c>
      <c r="O278" s="91" t="s">
        <v>1367</v>
      </c>
      <c r="P278" s="26" t="s">
        <v>235</v>
      </c>
      <c r="Q278" s="26" t="s">
        <v>226</v>
      </c>
      <c r="R278" s="72">
        <f>VLOOKUP(I278,'Трансп. каталог'!$F$3:$I$743,4,0)</f>
        <v>0</v>
      </c>
    </row>
    <row r="279" spans="1:18" hidden="1" x14ac:dyDescent="0.2">
      <c r="A279" s="21" t="s">
        <v>296</v>
      </c>
      <c r="B279" s="3" t="s">
        <v>2</v>
      </c>
      <c r="C279" s="3" t="s">
        <v>3</v>
      </c>
      <c r="D279" s="2" t="s">
        <v>297</v>
      </c>
      <c r="E279" s="2">
        <v>2024</v>
      </c>
      <c r="F279" s="2" t="str">
        <f>VLOOKUP(I279,'Трансп. каталог'!$F$3:$I$743,2,0)</f>
        <v>не позднее 28.12.2024</v>
      </c>
      <c r="G279" s="65" t="str">
        <f>VLOOKUP(I279,'Трансп. каталог'!$F$3:$I$743,3,0)</f>
        <v>с 20 января по 16 февраля после отчетного периода</v>
      </c>
      <c r="H279" s="18" t="s">
        <v>392</v>
      </c>
      <c r="I279" s="19" t="str">
        <f t="shared" si="5"/>
        <v>061006801012024</v>
      </c>
      <c r="J279" s="93" t="s">
        <v>1380</v>
      </c>
      <c r="K279" s="93" t="s">
        <v>679</v>
      </c>
      <c r="L279" s="93" t="s">
        <v>468</v>
      </c>
      <c r="M279" s="99" t="s">
        <v>679</v>
      </c>
      <c r="N279" s="95" t="s">
        <v>520</v>
      </c>
      <c r="O279" s="95" t="s">
        <v>510</v>
      </c>
      <c r="P279" s="2" t="s">
        <v>298</v>
      </c>
      <c r="Q279" s="2" t="s">
        <v>226</v>
      </c>
      <c r="R279" s="74">
        <f>VLOOKUP(I279,'Трансп. каталог'!$F$3:$I$743,4,0)</f>
        <v>0</v>
      </c>
    </row>
    <row r="280" spans="1:18" hidden="1" x14ac:dyDescent="0.2">
      <c r="A280" s="21" t="s">
        <v>181</v>
      </c>
      <c r="B280" s="22" t="s">
        <v>12</v>
      </c>
      <c r="C280" s="22" t="s">
        <v>3</v>
      </c>
      <c r="D280" s="20" t="s">
        <v>182</v>
      </c>
      <c r="E280" s="20">
        <v>2024</v>
      </c>
      <c r="F280" s="20" t="str">
        <f>VLOOKUP(I280,'Трансп. каталог'!$F$3:$I$743,2,0)</f>
        <v>не позднее 28.12.2024</v>
      </c>
      <c r="G280" s="66" t="str">
        <f>VLOOKUP(I280,'Трансп. каталог'!$F$3:$I$743,3,0)</f>
        <v xml:space="preserve">с 1-го официального 
рабочего дня января 
по 27 января
</v>
      </c>
      <c r="H280" s="21" t="s">
        <v>392</v>
      </c>
      <c r="I280" s="23" t="str">
        <f t="shared" si="5"/>
        <v>061008601012024</v>
      </c>
      <c r="J280" s="94" t="s">
        <v>678</v>
      </c>
      <c r="K280" s="94" t="s">
        <v>462</v>
      </c>
      <c r="L280" s="94" t="s">
        <v>678</v>
      </c>
      <c r="M280" s="99" t="s">
        <v>462</v>
      </c>
      <c r="N280" s="95" t="s">
        <v>666</v>
      </c>
      <c r="O280" s="95" t="s">
        <v>522</v>
      </c>
      <c r="P280" s="20" t="s">
        <v>166</v>
      </c>
      <c r="Q280" s="20" t="s">
        <v>10</v>
      </c>
      <c r="R280" s="74">
        <f>VLOOKUP(I280,'Трансп. каталог'!$F$3:$I$743,4,0)</f>
        <v>0</v>
      </c>
    </row>
    <row r="281" spans="1:18" hidden="1" x14ac:dyDescent="0.2">
      <c r="A281" s="24" t="s">
        <v>189</v>
      </c>
      <c r="B281" s="5" t="s">
        <v>2</v>
      </c>
      <c r="C281" s="5" t="s">
        <v>30</v>
      </c>
      <c r="D281" s="4" t="s">
        <v>190</v>
      </c>
      <c r="E281" s="4">
        <v>2024</v>
      </c>
      <c r="F281" s="4" t="str">
        <f>VLOOKUP(I281,'Трансп. каталог'!$F$3:$I$743,2,0)</f>
        <v>не позднее 28.12.2024</v>
      </c>
      <c r="G281" s="67" t="str">
        <f>VLOOKUP(I281,'Трансп. каталог'!$F$3:$I$743,3,0)</f>
        <v>с 14 по 25 января после отчетного периода</v>
      </c>
      <c r="H281" s="24" t="s">
        <v>392</v>
      </c>
      <c r="I281" s="25" t="str">
        <f t="shared" si="5"/>
        <v>061008701012024</v>
      </c>
      <c r="J281" s="110" t="s">
        <v>678</v>
      </c>
      <c r="K281" s="110" t="s">
        <v>679</v>
      </c>
      <c r="L281" s="110" t="s">
        <v>510</v>
      </c>
      <c r="M281" s="99" t="s">
        <v>679</v>
      </c>
      <c r="N281" s="95" t="s">
        <v>666</v>
      </c>
      <c r="O281" s="95" t="s">
        <v>522</v>
      </c>
      <c r="P281" s="4" t="s">
        <v>188</v>
      </c>
      <c r="Q281" s="4" t="s">
        <v>10</v>
      </c>
      <c r="R281" s="74">
        <f>VLOOKUP(I281,'Трансп. каталог'!$F$3:$I$743,4,0)</f>
        <v>0</v>
      </c>
    </row>
    <row r="282" spans="1:18" hidden="1" x14ac:dyDescent="0.2">
      <c r="A282" s="24" t="s">
        <v>323</v>
      </c>
      <c r="B282" s="5" t="s">
        <v>2</v>
      </c>
      <c r="C282" s="5" t="s">
        <v>30</v>
      </c>
      <c r="D282" s="4" t="s">
        <v>324</v>
      </c>
      <c r="E282" s="4" t="s">
        <v>706</v>
      </c>
      <c r="F282" s="4" t="str">
        <f>VLOOKUP(I282,'Трансп. каталог'!$F$3:$I$743,2,0)</f>
        <v>не позднее 25.04.2025</v>
      </c>
      <c r="G282" s="67" t="str">
        <f>VLOOKUP(I282,'Трансп. каталог'!$F$3:$I$743,3,0)</f>
        <v>с 30 апреля по 15 июня отчетного периода</v>
      </c>
      <c r="H282" s="24" t="s">
        <v>443</v>
      </c>
      <c r="I282" s="25" t="str">
        <f t="shared" si="5"/>
        <v>061100101012025</v>
      </c>
      <c r="J282" s="110" t="s">
        <v>512</v>
      </c>
      <c r="K282" s="110" t="s">
        <v>409</v>
      </c>
      <c r="L282" s="110" t="s">
        <v>512</v>
      </c>
      <c r="M282" s="99" t="s">
        <v>409</v>
      </c>
      <c r="N282" s="95" t="s">
        <v>625</v>
      </c>
      <c r="O282" s="95" t="s">
        <v>550</v>
      </c>
      <c r="P282" s="4" t="s">
        <v>325</v>
      </c>
      <c r="Q282" s="4" t="s">
        <v>33</v>
      </c>
      <c r="R282" s="74">
        <f>VLOOKUP(I282,'Трансп. каталог'!$F$3:$I$743,4,0)</f>
        <v>0</v>
      </c>
    </row>
    <row r="283" spans="1:18" hidden="1" x14ac:dyDescent="0.2">
      <c r="A283" s="24" t="s">
        <v>335</v>
      </c>
      <c r="B283" s="5" t="s">
        <v>12</v>
      </c>
      <c r="C283" s="5" t="s">
        <v>30</v>
      </c>
      <c r="D283" s="4" t="s">
        <v>336</v>
      </c>
      <c r="E283" s="4" t="s">
        <v>635</v>
      </c>
      <c r="F283" s="4" t="e">
        <f>VLOOKUP(I283,'Трансп. каталог'!$F$3:$I$743,2,0)</f>
        <v>#N/A</v>
      </c>
      <c r="G283" s="67" t="e">
        <f>VLOOKUP(I283,'Трансп. каталог'!$F$3:$I$743,3,0)</f>
        <v>#N/A</v>
      </c>
      <c r="H283" s="24" t="s">
        <v>392</v>
      </c>
      <c r="I283" s="25" t="str">
        <f t="shared" si="5"/>
        <v>061100201012024</v>
      </c>
      <c r="J283" s="43" t="s">
        <v>88</v>
      </c>
      <c r="K283" s="43" t="s">
        <v>462</v>
      </c>
      <c r="L283" s="43" t="s">
        <v>543</v>
      </c>
      <c r="M283" s="83" t="s">
        <v>462</v>
      </c>
      <c r="N283" s="88" t="s">
        <v>1374</v>
      </c>
      <c r="O283" s="88" t="s">
        <v>1373</v>
      </c>
      <c r="P283" s="4" t="s">
        <v>325</v>
      </c>
      <c r="Q283" s="4" t="s">
        <v>33</v>
      </c>
      <c r="R283" s="74"/>
    </row>
    <row r="284" spans="1:18" hidden="1" x14ac:dyDescent="0.2">
      <c r="A284" s="24" t="s">
        <v>335</v>
      </c>
      <c r="B284" s="5" t="s">
        <v>12</v>
      </c>
      <c r="C284" s="5" t="s">
        <v>30</v>
      </c>
      <c r="D284" s="4" t="s">
        <v>336</v>
      </c>
      <c r="E284" s="4" t="s">
        <v>706</v>
      </c>
      <c r="F284" s="4" t="str">
        <f>VLOOKUP(I284,'Трансп. каталог'!$F$3:$I$743,2,0)</f>
        <v>не позднее 23.09.2025</v>
      </c>
      <c r="G284" s="67" t="str">
        <f>VLOOKUP(I284,'Трансп. каталог'!$F$3:$I$743,3,0)</f>
        <v>с 13 октября по 21 ноября отчетного года</v>
      </c>
      <c r="H284" s="24" t="s">
        <v>443</v>
      </c>
      <c r="I284" s="25" t="str">
        <f t="shared" si="5"/>
        <v>061100201012025</v>
      </c>
      <c r="J284" s="43" t="s">
        <v>491</v>
      </c>
      <c r="K284" s="43" t="s">
        <v>555</v>
      </c>
      <c r="L284" s="43" t="s">
        <v>491</v>
      </c>
      <c r="M284" s="83" t="s">
        <v>555</v>
      </c>
      <c r="N284" s="88" t="s">
        <v>540</v>
      </c>
      <c r="O284" s="88" t="s">
        <v>613</v>
      </c>
      <c r="P284" s="4" t="s">
        <v>325</v>
      </c>
      <c r="Q284" s="4" t="s">
        <v>33</v>
      </c>
      <c r="R284" s="74">
        <f>VLOOKUP(I284,'Трансп. каталог'!$F$3:$I$743,4,0)</f>
        <v>0</v>
      </c>
    </row>
    <row r="285" spans="1:18" hidden="1" x14ac:dyDescent="0.2">
      <c r="A285" s="24" t="s">
        <v>335</v>
      </c>
      <c r="B285" s="5" t="s">
        <v>12</v>
      </c>
      <c r="C285" s="5" t="s">
        <v>30</v>
      </c>
      <c r="D285" s="4" t="s">
        <v>337</v>
      </c>
      <c r="E285" s="4" t="s">
        <v>635</v>
      </c>
      <c r="F285" s="4" t="e">
        <f>VLOOKUP(I285,'Трансп. каталог'!$F$3:$I$743,2,0)</f>
        <v>#N/A</v>
      </c>
      <c r="G285" s="67" t="e">
        <f>VLOOKUP(I285,'Трансп. каталог'!$F$3:$I$743,3,0)</f>
        <v>#N/A</v>
      </c>
      <c r="H285" s="24" t="s">
        <v>392</v>
      </c>
      <c r="I285" s="25" t="str">
        <f t="shared" si="5"/>
        <v>061100201012024</v>
      </c>
      <c r="J285" s="43" t="s">
        <v>88</v>
      </c>
      <c r="K285" s="43" t="s">
        <v>462</v>
      </c>
      <c r="L285" s="43" t="s">
        <v>543</v>
      </c>
      <c r="M285" s="83" t="s">
        <v>462</v>
      </c>
      <c r="N285" s="88" t="s">
        <v>1374</v>
      </c>
      <c r="O285" s="88" t="s">
        <v>1373</v>
      </c>
      <c r="P285" s="4" t="s">
        <v>325</v>
      </c>
      <c r="Q285" s="4" t="s">
        <v>33</v>
      </c>
      <c r="R285" s="74"/>
    </row>
    <row r="286" spans="1:18" hidden="1" x14ac:dyDescent="0.2">
      <c r="A286" s="24" t="s">
        <v>335</v>
      </c>
      <c r="B286" s="5" t="s">
        <v>12</v>
      </c>
      <c r="C286" s="5" t="s">
        <v>30</v>
      </c>
      <c r="D286" s="4" t="s">
        <v>337</v>
      </c>
      <c r="E286" s="4" t="s">
        <v>706</v>
      </c>
      <c r="F286" s="4" t="str">
        <f>VLOOKUP(I286,'Трансп. каталог'!$F$3:$I$743,2,0)</f>
        <v>не позднее 23.09.2025</v>
      </c>
      <c r="G286" s="67" t="str">
        <f>VLOOKUP(I286,'Трансп. каталог'!$F$3:$I$743,3,0)</f>
        <v>с 13 октября по 21 ноября отчетного года</v>
      </c>
      <c r="H286" s="24" t="s">
        <v>443</v>
      </c>
      <c r="I286" s="25" t="str">
        <f t="shared" si="5"/>
        <v>061100201012025</v>
      </c>
      <c r="J286" s="43" t="s">
        <v>491</v>
      </c>
      <c r="K286" s="43" t="s">
        <v>485</v>
      </c>
      <c r="L286" s="43" t="s">
        <v>430</v>
      </c>
      <c r="M286" s="83" t="s">
        <v>485</v>
      </c>
      <c r="N286" s="88" t="s">
        <v>540</v>
      </c>
      <c r="O286" s="88" t="s">
        <v>613</v>
      </c>
      <c r="P286" s="4" t="s">
        <v>325</v>
      </c>
      <c r="Q286" s="4" t="s">
        <v>33</v>
      </c>
      <c r="R286" s="74">
        <f>VLOOKUP(I286,'Трансп. каталог'!$F$3:$I$743,4,0)</f>
        <v>0</v>
      </c>
    </row>
    <row r="287" spans="1:18" hidden="1" x14ac:dyDescent="0.2">
      <c r="A287" s="24" t="s">
        <v>335</v>
      </c>
      <c r="B287" s="5" t="s">
        <v>12</v>
      </c>
      <c r="C287" s="5" t="s">
        <v>30</v>
      </c>
      <c r="D287" s="4" t="s">
        <v>337</v>
      </c>
      <c r="E287" s="4" t="s">
        <v>706</v>
      </c>
      <c r="F287" s="4" t="str">
        <f>VLOOKUP(I287,'Трансп. каталог'!$F$3:$I$743,2,0)</f>
        <v>не позднее 23.09.2025</v>
      </c>
      <c r="G287" s="67" t="str">
        <f>VLOOKUP(I287,'Трансп. каталог'!$F$3:$I$743,3,0)</f>
        <v>с 13 октября по 21 ноября отчетного года</v>
      </c>
      <c r="H287" s="24" t="s">
        <v>443</v>
      </c>
      <c r="I287" s="25" t="str">
        <f t="shared" si="5"/>
        <v>061100201012025</v>
      </c>
      <c r="J287" s="43" t="s">
        <v>491</v>
      </c>
      <c r="K287" s="43" t="s">
        <v>555</v>
      </c>
      <c r="L287" s="43" t="s">
        <v>491</v>
      </c>
      <c r="M287" s="83" t="s">
        <v>555</v>
      </c>
      <c r="N287" s="88" t="s">
        <v>540</v>
      </c>
      <c r="O287" s="88" t="s">
        <v>613</v>
      </c>
      <c r="P287" s="4" t="s">
        <v>325</v>
      </c>
      <c r="Q287" s="4" t="s">
        <v>33</v>
      </c>
      <c r="R287" s="74">
        <f>VLOOKUP(I287,'Трансп. каталог'!$F$3:$I$743,4,0)</f>
        <v>0</v>
      </c>
    </row>
    <row r="288" spans="1:18" hidden="1" x14ac:dyDescent="0.2">
      <c r="A288" s="24" t="s">
        <v>359</v>
      </c>
      <c r="B288" s="5" t="s">
        <v>2</v>
      </c>
      <c r="C288" s="5" t="s">
        <v>30</v>
      </c>
      <c r="D288" s="4" t="s">
        <v>360</v>
      </c>
      <c r="E288" s="4">
        <v>2024</v>
      </c>
      <c r="F288" s="4" t="str">
        <f>VLOOKUP(I288,'Трансп. каталог'!$F$3:$I$743,2,0)</f>
        <v>не позднее 20.12.2024</v>
      </c>
      <c r="G288" s="67" t="str">
        <f>VLOOKUP(I288,'Трансп. каталог'!$F$3:$I$743,3,0)</f>
        <v>с 1-го рабочего дня 
по 12 января после отчетного периода</v>
      </c>
      <c r="H288" s="24" t="s">
        <v>392</v>
      </c>
      <c r="I288" s="25" t="str">
        <f t="shared" si="5"/>
        <v>061100301012024</v>
      </c>
      <c r="J288" s="110" t="s">
        <v>679</v>
      </c>
      <c r="K288" s="110" t="s">
        <v>462</v>
      </c>
      <c r="L288" s="110" t="s">
        <v>679</v>
      </c>
      <c r="M288" s="99" t="s">
        <v>462</v>
      </c>
      <c r="N288" s="115">
        <v>45667</v>
      </c>
      <c r="O288" s="115">
        <v>45667</v>
      </c>
      <c r="P288" s="4" t="s">
        <v>328</v>
      </c>
      <c r="Q288" s="4" t="s">
        <v>33</v>
      </c>
      <c r="R288" s="74"/>
    </row>
    <row r="289" spans="1:18" hidden="1" x14ac:dyDescent="0.2">
      <c r="A289" s="27" t="s">
        <v>329</v>
      </c>
      <c r="B289" s="28" t="s">
        <v>2</v>
      </c>
      <c r="C289" s="28" t="s">
        <v>30</v>
      </c>
      <c r="D289" s="26" t="s">
        <v>330</v>
      </c>
      <c r="E289" s="26">
        <v>2024</v>
      </c>
      <c r="F289" s="26" t="str">
        <f>VLOOKUP(I289,'Трансп. каталог'!$F$3:$I$743,2,0)</f>
        <v>не позднее 28.12.2024</v>
      </c>
      <c r="G289" s="68" t="str">
        <f>VLOOKUP(I289,'Трансп. каталог'!$F$3:$I$743,3,0)</f>
        <v>с 1-го по 3-й рабочий день после отчетного года</v>
      </c>
      <c r="H289" s="27" t="s">
        <v>392</v>
      </c>
      <c r="I289" s="29" t="str">
        <f t="shared" si="5"/>
        <v>061100401012024</v>
      </c>
      <c r="J289" s="141" t="s">
        <v>679</v>
      </c>
      <c r="K289" s="141" t="s">
        <v>462</v>
      </c>
      <c r="L289" s="141" t="s">
        <v>679</v>
      </c>
      <c r="M289" s="99" t="s">
        <v>462</v>
      </c>
      <c r="N289" s="115">
        <v>45667</v>
      </c>
      <c r="O289" s="115">
        <v>45667</v>
      </c>
      <c r="P289" s="26" t="s">
        <v>331</v>
      </c>
      <c r="Q289" s="26" t="s">
        <v>33</v>
      </c>
      <c r="R289" s="74" t="s">
        <v>1403</v>
      </c>
    </row>
    <row r="290" spans="1:18" hidden="1" x14ac:dyDescent="0.2">
      <c r="A290" s="15" t="s">
        <v>329</v>
      </c>
      <c r="B290" s="16" t="s">
        <v>2</v>
      </c>
      <c r="C290" s="16" t="s">
        <v>30</v>
      </c>
      <c r="D290" s="14" t="s">
        <v>330</v>
      </c>
      <c r="E290" s="14" t="s">
        <v>446</v>
      </c>
      <c r="F290" s="14" t="str">
        <f>VLOOKUP(I290,'Трансп. каталог'!$F$3:$I$743,2,0)</f>
        <v>не позднее 28.03.2025</v>
      </c>
      <c r="G290" s="64">
        <f>VLOOKUP(I290,'Трансп. каталог'!$F$3:$I$743,3,0)</f>
        <v>0</v>
      </c>
      <c r="H290" s="15" t="s">
        <v>447</v>
      </c>
      <c r="I290" s="17" t="str">
        <f t="shared" si="5"/>
        <v>061100404012025</v>
      </c>
      <c r="J290" s="92" t="s">
        <v>591</v>
      </c>
      <c r="K290" s="92" t="s">
        <v>393</v>
      </c>
      <c r="L290" s="92" t="s">
        <v>591</v>
      </c>
      <c r="M290" s="96" t="s">
        <v>393</v>
      </c>
      <c r="N290" s="97" t="s">
        <v>710</v>
      </c>
      <c r="O290" s="97" t="s">
        <v>570</v>
      </c>
      <c r="P290" s="14" t="s">
        <v>331</v>
      </c>
      <c r="Q290" s="14" t="s">
        <v>33</v>
      </c>
      <c r="R290" s="73" t="s">
        <v>1403</v>
      </c>
    </row>
    <row r="291" spans="1:18" hidden="1" x14ac:dyDescent="0.2">
      <c r="A291" s="15" t="s">
        <v>329</v>
      </c>
      <c r="B291" s="16" t="s">
        <v>2</v>
      </c>
      <c r="C291" s="16" t="s">
        <v>30</v>
      </c>
      <c r="D291" s="14" t="s">
        <v>330</v>
      </c>
      <c r="E291" s="14" t="s">
        <v>449</v>
      </c>
      <c r="F291" s="14" t="str">
        <f>VLOOKUP(I291,'Трансп. каталог'!$F$3:$I$743,2,0)</f>
        <v>не позднее 27.06.2025</v>
      </c>
      <c r="G291" s="64">
        <f>VLOOKUP(I291,'Трансп. каталог'!$F$3:$I$743,3,0)</f>
        <v>0</v>
      </c>
      <c r="H291" s="15" t="s">
        <v>450</v>
      </c>
      <c r="I291" s="17" t="str">
        <f t="shared" si="5"/>
        <v>061100404022025</v>
      </c>
      <c r="J291" s="92" t="s">
        <v>595</v>
      </c>
      <c r="K291" s="92" t="s">
        <v>483</v>
      </c>
      <c r="L291" s="92" t="s">
        <v>595</v>
      </c>
      <c r="M291" s="96" t="s">
        <v>483</v>
      </c>
      <c r="N291" s="97" t="s">
        <v>418</v>
      </c>
      <c r="O291" s="97" t="s">
        <v>572</v>
      </c>
      <c r="P291" s="14" t="s">
        <v>331</v>
      </c>
      <c r="Q291" s="14" t="s">
        <v>33</v>
      </c>
      <c r="R291" s="73" t="s">
        <v>1403</v>
      </c>
    </row>
    <row r="292" spans="1:18" hidden="1" x14ac:dyDescent="0.2">
      <c r="A292" s="18" t="s">
        <v>329</v>
      </c>
      <c r="B292" s="3" t="s">
        <v>2</v>
      </c>
      <c r="C292" s="3" t="s">
        <v>30</v>
      </c>
      <c r="D292" s="2" t="s">
        <v>330</v>
      </c>
      <c r="E292" s="2" t="s">
        <v>452</v>
      </c>
      <c r="F292" s="2" t="str">
        <f>VLOOKUP(I292,'Трансп. каталог'!$F$3:$I$743,2,0)</f>
        <v>не позднее 26.09.2025</v>
      </c>
      <c r="G292" s="65">
        <f>VLOOKUP(I292,'Трансп. каталог'!$F$3:$I$743,3,0)</f>
        <v>0</v>
      </c>
      <c r="H292" s="18" t="s">
        <v>453</v>
      </c>
      <c r="I292" s="19" t="str">
        <f t="shared" si="5"/>
        <v>061100404032025</v>
      </c>
      <c r="J292" s="41" t="s">
        <v>600</v>
      </c>
      <c r="K292" s="41" t="s">
        <v>485</v>
      </c>
      <c r="L292" s="41" t="s">
        <v>600</v>
      </c>
      <c r="M292" s="83" t="s">
        <v>485</v>
      </c>
      <c r="N292" s="88" t="s">
        <v>485</v>
      </c>
      <c r="O292" s="88" t="s">
        <v>715</v>
      </c>
      <c r="P292" s="2" t="s">
        <v>331</v>
      </c>
      <c r="Q292" s="2" t="s">
        <v>33</v>
      </c>
      <c r="R292" s="74" t="s">
        <v>1403</v>
      </c>
    </row>
    <row r="293" spans="1:18" hidden="1" x14ac:dyDescent="0.2">
      <c r="A293" s="21" t="s">
        <v>356</v>
      </c>
      <c r="B293" s="22" t="s">
        <v>2</v>
      </c>
      <c r="C293" s="22" t="s">
        <v>30</v>
      </c>
      <c r="D293" s="20" t="s">
        <v>357</v>
      </c>
      <c r="E293" s="20">
        <v>2024</v>
      </c>
      <c r="F293" s="20" t="e">
        <f>VLOOKUP(I293,'Трансп. каталог'!$F$3:$I$743,2,0)</f>
        <v>#N/A</v>
      </c>
      <c r="G293" s="66" t="e">
        <f>VLOOKUP(I293,'Трансп. каталог'!$F$3:$I$743,3,0)</f>
        <v>#N/A</v>
      </c>
      <c r="H293" s="21" t="s">
        <v>392</v>
      </c>
      <c r="I293" s="23" t="str">
        <f t="shared" si="5"/>
        <v>061100501012024</v>
      </c>
      <c r="J293" s="94" t="s">
        <v>508</v>
      </c>
      <c r="K293" s="94" t="s">
        <v>709</v>
      </c>
      <c r="L293" s="94" t="s">
        <v>508</v>
      </c>
      <c r="M293" s="102" t="s">
        <v>709</v>
      </c>
      <c r="N293" s="103" t="s">
        <v>678</v>
      </c>
      <c r="O293" s="103" t="s">
        <v>470</v>
      </c>
      <c r="P293" s="20" t="s">
        <v>358</v>
      </c>
      <c r="Q293" s="20" t="s">
        <v>33</v>
      </c>
      <c r="R293" s="75"/>
    </row>
    <row r="294" spans="1:18" hidden="1" x14ac:dyDescent="0.2">
      <c r="A294" s="24" t="s">
        <v>348</v>
      </c>
      <c r="B294" s="5" t="s">
        <v>12</v>
      </c>
      <c r="C294" s="5" t="s">
        <v>30</v>
      </c>
      <c r="D294" s="4" t="s">
        <v>349</v>
      </c>
      <c r="E294" s="4">
        <v>2024</v>
      </c>
      <c r="F294" s="4" t="str">
        <f>VLOOKUP(I294,'Трансп. каталог'!$F$3:$I$743,2,0)</f>
        <v>не позднее 25.11.2024</v>
      </c>
      <c r="G294" s="67" t="str">
        <f>VLOOKUP(I294,'Трансп. каталог'!$F$3:$I$743,3,0)</f>
        <v>с 4 по 9 января после отчетного периода</v>
      </c>
      <c r="H294" s="24" t="s">
        <v>392</v>
      </c>
      <c r="I294" s="25" t="str">
        <f t="shared" si="5"/>
        <v>061100601012024</v>
      </c>
      <c r="J294" s="110" t="s">
        <v>543</v>
      </c>
      <c r="K294" s="152">
        <v>45649</v>
      </c>
      <c r="L294" s="110" t="s">
        <v>543</v>
      </c>
      <c r="M294" s="104" t="s">
        <v>708</v>
      </c>
      <c r="N294" s="105" t="s">
        <v>704</v>
      </c>
      <c r="O294" s="105" t="s">
        <v>614</v>
      </c>
      <c r="P294" s="4" t="s">
        <v>347</v>
      </c>
      <c r="Q294" s="4" t="s">
        <v>33</v>
      </c>
      <c r="R294" s="71">
        <f>VLOOKUP(I294,'Трансп. каталог'!$F$3:$I$743,4,0)</f>
        <v>0</v>
      </c>
    </row>
    <row r="295" spans="1:18" hidden="1" x14ac:dyDescent="0.2">
      <c r="A295" s="24" t="s">
        <v>348</v>
      </c>
      <c r="B295" s="5" t="s">
        <v>12</v>
      </c>
      <c r="C295" s="5" t="s">
        <v>30</v>
      </c>
      <c r="D295" s="4" t="s">
        <v>350</v>
      </c>
      <c r="E295" s="4">
        <v>2024</v>
      </c>
      <c r="F295" s="4" t="str">
        <f>VLOOKUP(I295,'Трансп. каталог'!$F$3:$I$743,2,0)</f>
        <v>не позднее 25.11.2024</v>
      </c>
      <c r="G295" s="67" t="str">
        <f>VLOOKUP(I295,'Трансп. каталог'!$F$3:$I$743,3,0)</f>
        <v>с 4 по 9 января после отчетного периода</v>
      </c>
      <c r="H295" s="24" t="s">
        <v>392</v>
      </c>
      <c r="I295" s="25" t="str">
        <f t="shared" si="5"/>
        <v>061100601012024</v>
      </c>
      <c r="J295" s="110" t="s">
        <v>543</v>
      </c>
      <c r="K295" s="110" t="s">
        <v>708</v>
      </c>
      <c r="L295" s="110" t="s">
        <v>543</v>
      </c>
      <c r="M295" s="104" t="s">
        <v>708</v>
      </c>
      <c r="N295" s="105" t="s">
        <v>704</v>
      </c>
      <c r="O295" s="105" t="s">
        <v>614</v>
      </c>
      <c r="P295" s="4" t="s">
        <v>347</v>
      </c>
      <c r="Q295" s="4" t="s">
        <v>33</v>
      </c>
      <c r="R295" s="71">
        <f>VLOOKUP(I295,'Трансп. каталог'!$F$3:$I$743,4,0)</f>
        <v>0</v>
      </c>
    </row>
    <row r="296" spans="1:18" hidden="1" x14ac:dyDescent="0.2">
      <c r="A296" s="24" t="s">
        <v>340</v>
      </c>
      <c r="B296" s="5" t="s">
        <v>2</v>
      </c>
      <c r="C296" s="5" t="s">
        <v>30</v>
      </c>
      <c r="D296" s="4" t="s">
        <v>341</v>
      </c>
      <c r="E296" s="4">
        <v>2024</v>
      </c>
      <c r="F296" s="4" t="str">
        <f>VLOOKUP(I296,'Трансп. каталог'!$F$3:$I$743,2,0)</f>
        <v>не позднее 26.12.2024</v>
      </c>
      <c r="G296" s="67" t="str">
        <f>VLOOKUP(I296,'Трансп. каталог'!$F$3:$I$743,3,0)</f>
        <v xml:space="preserve">с 1-го рабочего дня по 12 января
после отчетного периода
</v>
      </c>
      <c r="H296" s="24" t="s">
        <v>392</v>
      </c>
      <c r="I296" s="25" t="str">
        <f t="shared" si="5"/>
        <v>061100901012024</v>
      </c>
      <c r="J296" s="152">
        <v>45670</v>
      </c>
      <c r="K296" s="110" t="s">
        <v>462</v>
      </c>
      <c r="L296" s="110" t="s">
        <v>679</v>
      </c>
      <c r="M296" s="139">
        <v>45667</v>
      </c>
      <c r="N296" s="105" t="s">
        <v>1401</v>
      </c>
      <c r="O296" s="105" t="s">
        <v>1401</v>
      </c>
      <c r="P296" s="4" t="s">
        <v>342</v>
      </c>
      <c r="Q296" s="4" t="s">
        <v>33</v>
      </c>
      <c r="R296" s="71">
        <f>VLOOKUP(I296,'Трансп. каталог'!$F$3:$I$743,4,0)</f>
        <v>0</v>
      </c>
    </row>
    <row r="297" spans="1:18" hidden="1" x14ac:dyDescent="0.2">
      <c r="A297" s="24" t="s">
        <v>343</v>
      </c>
      <c r="B297" s="5" t="s">
        <v>2</v>
      </c>
      <c r="C297" s="5" t="s">
        <v>30</v>
      </c>
      <c r="D297" s="4" t="s">
        <v>344</v>
      </c>
      <c r="E297" s="4" t="s">
        <v>706</v>
      </c>
      <c r="F297" s="4" t="str">
        <f>VLOOKUP(I297,'Трансп. каталог'!$F$3:$I$743,2,0)</f>
        <v>не позднее 10.10.2025</v>
      </c>
      <c r="G297" s="67" t="str">
        <f>VLOOKUP(I297,'Трансп. каталог'!$F$3:$I$743,3,0)</f>
        <v>с 13 октября по 21 ноября отчетного периода (10 января после отчетного периода)</v>
      </c>
      <c r="H297" s="24" t="s">
        <v>443</v>
      </c>
      <c r="I297" s="25" t="str">
        <f t="shared" si="5"/>
        <v>061101001012025</v>
      </c>
      <c r="J297" s="43" t="s">
        <v>491</v>
      </c>
      <c r="K297" s="43" t="s">
        <v>555</v>
      </c>
      <c r="L297" s="43" t="s">
        <v>491</v>
      </c>
      <c r="M297" s="85" t="s">
        <v>555</v>
      </c>
      <c r="N297" s="90" t="s">
        <v>540</v>
      </c>
      <c r="O297" s="90" t="s">
        <v>613</v>
      </c>
      <c r="P297" s="4" t="s">
        <v>325</v>
      </c>
      <c r="Q297" s="4" t="s">
        <v>33</v>
      </c>
      <c r="R297" s="71">
        <f>VLOOKUP(I297,'Трансп. каталог'!$F$3:$I$743,4,0)</f>
        <v>0</v>
      </c>
    </row>
    <row r="298" spans="1:18" hidden="1" x14ac:dyDescent="0.2">
      <c r="A298" s="24" t="s">
        <v>343</v>
      </c>
      <c r="B298" s="5" t="s">
        <v>2</v>
      </c>
      <c r="C298" s="5" t="s">
        <v>30</v>
      </c>
      <c r="D298" s="4" t="s">
        <v>344</v>
      </c>
      <c r="E298" s="4" t="s">
        <v>706</v>
      </c>
      <c r="F298" s="4" t="str">
        <f>VLOOKUP(I298,'Трансп. каталог'!$F$3:$I$743,2,0)</f>
        <v>не позднее 10.10.2025</v>
      </c>
      <c r="G298" s="67" t="str">
        <f>VLOOKUP(I298,'Трансп. каталог'!$F$3:$I$743,3,0)</f>
        <v>с 13 октября по 21 ноября отчетного периода (10 января после отчетного периода)</v>
      </c>
      <c r="H298" s="24" t="s">
        <v>443</v>
      </c>
      <c r="I298" s="25" t="str">
        <f t="shared" si="5"/>
        <v>061101001012025</v>
      </c>
      <c r="J298" s="43" t="s">
        <v>442</v>
      </c>
      <c r="K298" s="43" t="s">
        <v>555</v>
      </c>
      <c r="L298" s="43" t="s">
        <v>491</v>
      </c>
      <c r="M298" s="165">
        <v>46034</v>
      </c>
      <c r="N298" s="90" t="s">
        <v>481</v>
      </c>
      <c r="O298" s="90" t="s">
        <v>1379</v>
      </c>
      <c r="P298" s="4" t="s">
        <v>325</v>
      </c>
      <c r="Q298" s="4" t="s">
        <v>33</v>
      </c>
      <c r="R298" s="71">
        <f>VLOOKUP(I298,'Трансп. каталог'!$F$3:$I$743,4,0)</f>
        <v>0</v>
      </c>
    </row>
    <row r="299" spans="1:18" hidden="1" x14ac:dyDescent="0.2">
      <c r="A299" s="24" t="s">
        <v>361</v>
      </c>
      <c r="B299" s="5" t="s">
        <v>12</v>
      </c>
      <c r="C299" s="5" t="s">
        <v>30</v>
      </c>
      <c r="D299" s="4" t="s">
        <v>362</v>
      </c>
      <c r="E299" s="4" t="s">
        <v>395</v>
      </c>
      <c r="F299" s="4" t="str">
        <f>VLOOKUP(I299,'Трансп. каталог'!$F$3:$I$743,2,0)</f>
        <v>не позднее 29.01.2025</v>
      </c>
      <c r="G299" s="67">
        <f>VLOOKUP(I299,'Трансп. каталог'!$F$3:$I$743,3,0)</f>
        <v>0</v>
      </c>
      <c r="H299" s="24" t="s">
        <v>396</v>
      </c>
      <c r="I299" s="25" t="str">
        <f t="shared" si="5"/>
        <v>061101212012025</v>
      </c>
      <c r="J299" s="110" t="s">
        <v>460</v>
      </c>
      <c r="K299" s="110" t="s">
        <v>509</v>
      </c>
      <c r="L299" s="110" t="s">
        <v>460</v>
      </c>
      <c r="M299" s="104" t="s">
        <v>509</v>
      </c>
      <c r="N299" s="105" t="s">
        <v>398</v>
      </c>
      <c r="O299" s="105" t="s">
        <v>398</v>
      </c>
      <c r="P299" s="4" t="s">
        <v>317</v>
      </c>
      <c r="Q299" s="4" t="s">
        <v>33</v>
      </c>
      <c r="R299" s="71">
        <f>VLOOKUP(I299,'Трансп. каталог'!$F$3:$I$743,4,0)</f>
        <v>0</v>
      </c>
    </row>
    <row r="300" spans="1:18" hidden="1" x14ac:dyDescent="0.2">
      <c r="A300" s="24" t="s">
        <v>361</v>
      </c>
      <c r="B300" s="5" t="s">
        <v>12</v>
      </c>
      <c r="C300" s="5" t="s">
        <v>30</v>
      </c>
      <c r="D300" s="4" t="s">
        <v>362</v>
      </c>
      <c r="E300" s="4" t="s">
        <v>399</v>
      </c>
      <c r="F300" s="4" t="str">
        <f>VLOOKUP(I300,'Трансп. каталог'!$F$3:$I$743,2,0)</f>
        <v>не позднее 27.02.2025</v>
      </c>
      <c r="G300" s="67">
        <f>VLOOKUP(I300,'Трансп. каталог'!$F$3:$I$743,3,0)</f>
        <v>0</v>
      </c>
      <c r="H300" s="24" t="s">
        <v>400</v>
      </c>
      <c r="I300" s="25" t="str">
        <f t="shared" si="5"/>
        <v>061101212022025</v>
      </c>
      <c r="J300" s="110" t="s">
        <v>465</v>
      </c>
      <c r="K300" s="110" t="s">
        <v>670</v>
      </c>
      <c r="L300" s="110" t="s">
        <v>465</v>
      </c>
      <c r="M300" s="104" t="s">
        <v>670</v>
      </c>
      <c r="N300" s="105" t="s">
        <v>402</v>
      </c>
      <c r="O300" s="105" t="s">
        <v>402</v>
      </c>
      <c r="P300" s="4" t="s">
        <v>317</v>
      </c>
      <c r="Q300" s="4" t="s">
        <v>33</v>
      </c>
      <c r="R300" s="71">
        <f>VLOOKUP(I300,'Трансп. каталог'!$F$3:$I$743,4,0)</f>
        <v>0</v>
      </c>
    </row>
    <row r="301" spans="1:18" hidden="1" x14ac:dyDescent="0.2">
      <c r="A301" s="27" t="s">
        <v>361</v>
      </c>
      <c r="B301" s="28" t="s">
        <v>12</v>
      </c>
      <c r="C301" s="28" t="s">
        <v>30</v>
      </c>
      <c r="D301" s="26" t="s">
        <v>362</v>
      </c>
      <c r="E301" s="26" t="s">
        <v>403</v>
      </c>
      <c r="F301" s="26" t="str">
        <f>VLOOKUP(I301,'Трансп. каталог'!$F$3:$I$743,2,0)</f>
        <v>не позднее 28.03.2025</v>
      </c>
      <c r="G301" s="68">
        <f>VLOOKUP(I301,'Трансп. каталог'!$F$3:$I$743,3,0)</f>
        <v>0</v>
      </c>
      <c r="H301" s="27" t="s">
        <v>404</v>
      </c>
      <c r="I301" s="29" t="str">
        <f t="shared" si="5"/>
        <v>061101212032025</v>
      </c>
      <c r="J301" s="141" t="s">
        <v>710</v>
      </c>
      <c r="K301" s="141" t="s">
        <v>393</v>
      </c>
      <c r="L301" s="141" t="s">
        <v>710</v>
      </c>
      <c r="M301" s="104" t="s">
        <v>393</v>
      </c>
      <c r="N301" s="170">
        <v>45749</v>
      </c>
      <c r="O301" s="105" t="s">
        <v>406</v>
      </c>
      <c r="P301" s="26" t="s">
        <v>317</v>
      </c>
      <c r="Q301" s="26" t="s">
        <v>33</v>
      </c>
      <c r="R301" s="72">
        <f>VLOOKUP(I301,'Трансп. каталог'!$F$3:$I$743,4,0)</f>
        <v>0</v>
      </c>
    </row>
    <row r="302" spans="1:18" hidden="1" x14ac:dyDescent="0.2">
      <c r="A302" s="18" t="s">
        <v>361</v>
      </c>
      <c r="B302" s="3" t="s">
        <v>12</v>
      </c>
      <c r="C302" s="3" t="s">
        <v>30</v>
      </c>
      <c r="D302" s="2" t="s">
        <v>362</v>
      </c>
      <c r="E302" s="2" t="s">
        <v>407</v>
      </c>
      <c r="F302" s="2" t="str">
        <f>VLOOKUP(I302,'Трансп. каталог'!$F$3:$I$743,2,0)</f>
        <v>не позднее 29.04.2025</v>
      </c>
      <c r="G302" s="65">
        <f>VLOOKUP(I302,'Трансп. каталог'!$F$3:$I$743,3,0)</f>
        <v>0</v>
      </c>
      <c r="H302" s="18" t="s">
        <v>408</v>
      </c>
      <c r="I302" s="19" t="str">
        <f t="shared" si="5"/>
        <v>061101212042025</v>
      </c>
      <c r="J302" s="141" t="s">
        <v>711</v>
      </c>
      <c r="K302" s="141" t="s">
        <v>603</v>
      </c>
      <c r="L302" s="141" t="s">
        <v>711</v>
      </c>
      <c r="M302" s="104" t="s">
        <v>603</v>
      </c>
      <c r="N302" s="105" t="s">
        <v>410</v>
      </c>
      <c r="O302" s="105" t="s">
        <v>410</v>
      </c>
      <c r="P302" s="2" t="s">
        <v>317</v>
      </c>
      <c r="Q302" s="2" t="s">
        <v>33</v>
      </c>
      <c r="R302" s="74">
        <f>VLOOKUP(I302,'Трансп. каталог'!$F$3:$I$743,4,0)</f>
        <v>0</v>
      </c>
    </row>
    <row r="303" spans="1:18" hidden="1" x14ac:dyDescent="0.2">
      <c r="A303" s="21" t="s">
        <v>361</v>
      </c>
      <c r="B303" s="22" t="s">
        <v>12</v>
      </c>
      <c r="C303" s="22" t="s">
        <v>30</v>
      </c>
      <c r="D303" s="20" t="s">
        <v>362</v>
      </c>
      <c r="E303" s="20" t="s">
        <v>411</v>
      </c>
      <c r="F303" s="20" t="str">
        <f>VLOOKUP(I303,'Трансп. каталог'!$F$3:$I$743,2,0)</f>
        <v>не позднее 29.05.2025</v>
      </c>
      <c r="G303" s="66">
        <f>VLOOKUP(I303,'Трансп. каталог'!$F$3:$I$743,3,0)</f>
        <v>0</v>
      </c>
      <c r="H303" s="21" t="s">
        <v>412</v>
      </c>
      <c r="I303" s="23" t="str">
        <f t="shared" si="5"/>
        <v>061101212052025</v>
      </c>
      <c r="J303" s="94" t="s">
        <v>712</v>
      </c>
      <c r="K303" s="94" t="s">
        <v>624</v>
      </c>
      <c r="L303" s="94" t="s">
        <v>712</v>
      </c>
      <c r="M303" s="104" t="s">
        <v>624</v>
      </c>
      <c r="N303" s="170" t="s">
        <v>414</v>
      </c>
      <c r="O303" s="105" t="s">
        <v>414</v>
      </c>
      <c r="P303" s="20" t="s">
        <v>317</v>
      </c>
      <c r="Q303" s="20" t="s">
        <v>33</v>
      </c>
      <c r="R303" s="75">
        <f>VLOOKUP(I303,'Трансп. каталог'!$F$3:$I$743,4,0)</f>
        <v>0</v>
      </c>
    </row>
    <row r="304" spans="1:18" hidden="1" x14ac:dyDescent="0.2">
      <c r="A304" s="24" t="s">
        <v>361</v>
      </c>
      <c r="B304" s="5" t="s">
        <v>12</v>
      </c>
      <c r="C304" s="5" t="s">
        <v>30</v>
      </c>
      <c r="D304" s="4" t="s">
        <v>362</v>
      </c>
      <c r="E304" s="4" t="s">
        <v>415</v>
      </c>
      <c r="F304" s="4" t="str">
        <f>VLOOKUP(I304,'Трансп. каталог'!$F$3:$I$743,2,0)</f>
        <v>не позднее 27.06.2025</v>
      </c>
      <c r="G304" s="67">
        <f>VLOOKUP(I304,'Трансп. каталог'!$F$3:$I$743,3,0)</f>
        <v>0</v>
      </c>
      <c r="H304" s="24" t="s">
        <v>416</v>
      </c>
      <c r="I304" s="25" t="str">
        <f t="shared" si="5"/>
        <v>061101212062025</v>
      </c>
      <c r="J304" s="110" t="s">
        <v>713</v>
      </c>
      <c r="K304" s="110" t="s">
        <v>483</v>
      </c>
      <c r="L304" s="110" t="s">
        <v>713</v>
      </c>
      <c r="M304" s="104" t="s">
        <v>483</v>
      </c>
      <c r="N304" s="170" t="s">
        <v>1450</v>
      </c>
      <c r="O304" s="105" t="s">
        <v>418</v>
      </c>
      <c r="P304" s="4" t="s">
        <v>317</v>
      </c>
      <c r="Q304" s="4" t="s">
        <v>33</v>
      </c>
      <c r="R304" s="71">
        <f>VLOOKUP(I304,'Трансп. каталог'!$F$3:$I$743,4,0)</f>
        <v>0</v>
      </c>
    </row>
    <row r="305" spans="1:18" hidden="1" x14ac:dyDescent="0.2">
      <c r="A305" s="27" t="s">
        <v>361</v>
      </c>
      <c r="B305" s="28" t="s">
        <v>12</v>
      </c>
      <c r="C305" s="28" t="s">
        <v>30</v>
      </c>
      <c r="D305" s="26" t="s">
        <v>362</v>
      </c>
      <c r="E305" s="26" t="s">
        <v>419</v>
      </c>
      <c r="F305" s="26" t="str">
        <f>VLOOKUP(I305,'Трансп. каталог'!$F$3:$I$743,2,0)</f>
        <v>не позднее 29.07.2025</v>
      </c>
      <c r="G305" s="68">
        <f>VLOOKUP(I305,'Трансп. каталог'!$F$3:$I$743,3,0)</f>
        <v>0</v>
      </c>
      <c r="H305" s="27" t="s">
        <v>420</v>
      </c>
      <c r="I305" s="29" t="str">
        <f t="shared" si="5"/>
        <v>061101212072025</v>
      </c>
      <c r="J305" s="44" t="s">
        <v>612</v>
      </c>
      <c r="K305" s="44" t="s">
        <v>627</v>
      </c>
      <c r="L305" s="44" t="s">
        <v>612</v>
      </c>
      <c r="M305" s="86" t="s">
        <v>627</v>
      </c>
      <c r="N305" s="91" t="s">
        <v>552</v>
      </c>
      <c r="O305" s="91" t="s">
        <v>627</v>
      </c>
      <c r="P305" s="26" t="s">
        <v>317</v>
      </c>
      <c r="Q305" s="26" t="s">
        <v>33</v>
      </c>
      <c r="R305" s="72">
        <f>VLOOKUP(I305,'Трансп. каталог'!$F$3:$I$743,4,0)</f>
        <v>0</v>
      </c>
    </row>
    <row r="306" spans="1:18" hidden="1" x14ac:dyDescent="0.2">
      <c r="A306" s="18" t="s">
        <v>361</v>
      </c>
      <c r="B306" s="3" t="s">
        <v>12</v>
      </c>
      <c r="C306" s="3" t="s">
        <v>30</v>
      </c>
      <c r="D306" s="2" t="s">
        <v>362</v>
      </c>
      <c r="E306" s="2" t="s">
        <v>423</v>
      </c>
      <c r="F306" s="2" t="str">
        <f>VLOOKUP(I306,'Трансп. каталог'!$F$3:$I$743,2,0)</f>
        <v>не позднее 29.08.2025</v>
      </c>
      <c r="G306" s="65">
        <f>VLOOKUP(I306,'Трансп. каталог'!$F$3:$I$743,3,0)</f>
        <v>0</v>
      </c>
      <c r="H306" s="18" t="s">
        <v>424</v>
      </c>
      <c r="I306" s="19" t="str">
        <f t="shared" si="5"/>
        <v>061101212082025</v>
      </c>
      <c r="J306" s="41" t="s">
        <v>714</v>
      </c>
      <c r="K306" s="41" t="s">
        <v>607</v>
      </c>
      <c r="L306" s="41" t="s">
        <v>714</v>
      </c>
      <c r="M306" s="83" t="s">
        <v>607</v>
      </c>
      <c r="N306" s="88" t="s">
        <v>581</v>
      </c>
      <c r="O306" s="88" t="s">
        <v>425</v>
      </c>
      <c r="P306" s="2" t="s">
        <v>317</v>
      </c>
      <c r="Q306" s="2" t="s">
        <v>33</v>
      </c>
      <c r="R306" s="74">
        <f>VLOOKUP(I306,'Трансп. каталог'!$F$3:$I$743,4,0)</f>
        <v>0</v>
      </c>
    </row>
    <row r="307" spans="1:18" hidden="1" x14ac:dyDescent="0.2">
      <c r="A307" s="21" t="s">
        <v>361</v>
      </c>
      <c r="B307" s="22" t="s">
        <v>12</v>
      </c>
      <c r="C307" s="22" t="s">
        <v>30</v>
      </c>
      <c r="D307" s="20" t="s">
        <v>362</v>
      </c>
      <c r="E307" s="20" t="s">
        <v>427</v>
      </c>
      <c r="F307" s="20" t="str">
        <f>VLOOKUP(I307,'Трансп. каталог'!$F$3:$I$743,2,0)</f>
        <v>не позднее 29.09.2025</v>
      </c>
      <c r="G307" s="66">
        <f>VLOOKUP(I307,'Трансп. каталог'!$F$3:$I$743,3,0)</f>
        <v>0</v>
      </c>
      <c r="H307" s="21" t="s">
        <v>428</v>
      </c>
      <c r="I307" s="23" t="str">
        <f t="shared" si="5"/>
        <v>061101212092025</v>
      </c>
      <c r="J307" s="42" t="s">
        <v>715</v>
      </c>
      <c r="K307" s="42" t="s">
        <v>485</v>
      </c>
      <c r="L307" s="42" t="s">
        <v>715</v>
      </c>
      <c r="M307" s="84" t="s">
        <v>485</v>
      </c>
      <c r="N307" s="89" t="s">
        <v>429</v>
      </c>
      <c r="O307" s="89" t="s">
        <v>430</v>
      </c>
      <c r="P307" s="20" t="s">
        <v>317</v>
      </c>
      <c r="Q307" s="20" t="s">
        <v>33</v>
      </c>
      <c r="R307" s="75">
        <f>VLOOKUP(I307,'Трансп. каталог'!$F$3:$I$743,4,0)</f>
        <v>0</v>
      </c>
    </row>
    <row r="308" spans="1:18" hidden="1" x14ac:dyDescent="0.2">
      <c r="A308" s="24" t="s">
        <v>361</v>
      </c>
      <c r="B308" s="5" t="s">
        <v>12</v>
      </c>
      <c r="C308" s="5" t="s">
        <v>30</v>
      </c>
      <c r="D308" s="4" t="s">
        <v>362</v>
      </c>
      <c r="E308" s="4" t="s">
        <v>431</v>
      </c>
      <c r="F308" s="4" t="str">
        <f>VLOOKUP(I308,'Трансп. каталог'!$F$3:$I$743,2,0)</f>
        <v>не позднее 28.10.2025</v>
      </c>
      <c r="G308" s="67">
        <f>VLOOKUP(I308,'Трансп. каталог'!$F$3:$I$743,3,0)</f>
        <v>0</v>
      </c>
      <c r="H308" s="24" t="s">
        <v>432</v>
      </c>
      <c r="I308" s="25" t="str">
        <f t="shared" si="5"/>
        <v>061101212102025</v>
      </c>
      <c r="J308" s="43" t="s">
        <v>478</v>
      </c>
      <c r="K308" s="43" t="s">
        <v>602</v>
      </c>
      <c r="L308" s="43" t="s">
        <v>478</v>
      </c>
      <c r="M308" s="84" t="s">
        <v>602</v>
      </c>
      <c r="N308" s="89" t="s">
        <v>556</v>
      </c>
      <c r="O308" s="89" t="s">
        <v>602</v>
      </c>
      <c r="P308" s="4" t="s">
        <v>317</v>
      </c>
      <c r="Q308" s="4" t="s">
        <v>33</v>
      </c>
      <c r="R308" s="71">
        <f>VLOOKUP(I308,'Трансп. каталог'!$F$3:$I$743,4,0)</f>
        <v>0</v>
      </c>
    </row>
    <row r="309" spans="1:18" hidden="1" x14ac:dyDescent="0.2">
      <c r="A309" s="24" t="s">
        <v>361</v>
      </c>
      <c r="B309" s="5" t="s">
        <v>12</v>
      </c>
      <c r="C309" s="5" t="s">
        <v>30</v>
      </c>
      <c r="D309" s="4" t="s">
        <v>362</v>
      </c>
      <c r="E309" s="4" t="s">
        <v>435</v>
      </c>
      <c r="F309" s="4" t="str">
        <f>VLOOKUP(I309,'Трансп. каталог'!$F$3:$I$743,2,0)</f>
        <v>не позднее 27.11.2025</v>
      </c>
      <c r="G309" s="67">
        <f>VLOOKUP(I309,'Трансп. каталог'!$F$3:$I$743,3,0)</f>
        <v>0</v>
      </c>
      <c r="H309" s="24" t="s">
        <v>436</v>
      </c>
      <c r="I309" s="25" t="str">
        <f t="shared" si="5"/>
        <v>061101212112025</v>
      </c>
      <c r="J309" s="43" t="s">
        <v>716</v>
      </c>
      <c r="K309" s="43" t="s">
        <v>608</v>
      </c>
      <c r="L309" s="43" t="s">
        <v>716</v>
      </c>
      <c r="M309" s="85" t="s">
        <v>608</v>
      </c>
      <c r="N309" s="90" t="s">
        <v>583</v>
      </c>
      <c r="O309" s="90" t="s">
        <v>437</v>
      </c>
      <c r="P309" s="4" t="s">
        <v>317</v>
      </c>
      <c r="Q309" s="4" t="s">
        <v>33</v>
      </c>
      <c r="R309" s="71">
        <f>VLOOKUP(I309,'Трансп. каталог'!$F$3:$I$743,4,0)</f>
        <v>0</v>
      </c>
    </row>
    <row r="310" spans="1:18" hidden="1" x14ac:dyDescent="0.2">
      <c r="A310" s="24" t="s">
        <v>361</v>
      </c>
      <c r="B310" s="5" t="s">
        <v>12</v>
      </c>
      <c r="C310" s="5" t="s">
        <v>30</v>
      </c>
      <c r="D310" s="4" t="s">
        <v>362</v>
      </c>
      <c r="E310" s="4" t="s">
        <v>439</v>
      </c>
      <c r="F310" s="4" t="str">
        <f>VLOOKUP(I310,'Трансп. каталог'!$F$3:$I$743,2,0)</f>
        <v>не позднее 29.12.2025</v>
      </c>
      <c r="G310" s="67">
        <f>VLOOKUP(I310,'Трансп. каталог'!$F$3:$I$743,3,0)</f>
        <v>0</v>
      </c>
      <c r="H310" s="24" t="s">
        <v>440</v>
      </c>
      <c r="I310" s="25" t="str">
        <f t="shared" si="5"/>
        <v>061101212122025</v>
      </c>
      <c r="J310" s="43" t="s">
        <v>707</v>
      </c>
      <c r="K310" s="43" t="s">
        <v>481</v>
      </c>
      <c r="L310" s="43" t="s">
        <v>707</v>
      </c>
      <c r="M310" s="85" t="s">
        <v>481</v>
      </c>
      <c r="N310" s="90" t="s">
        <v>1375</v>
      </c>
      <c r="O310" s="90" t="s">
        <v>442</v>
      </c>
      <c r="P310" s="4" t="s">
        <v>317</v>
      </c>
      <c r="Q310" s="4" t="s">
        <v>33</v>
      </c>
      <c r="R310" s="71">
        <f>VLOOKUP(I310,'Трансп. каталог'!$F$3:$I$743,4,0)</f>
        <v>0</v>
      </c>
    </row>
    <row r="311" spans="1:18" hidden="1" x14ac:dyDescent="0.2">
      <c r="A311" s="24" t="s">
        <v>326</v>
      </c>
      <c r="B311" s="5" t="s">
        <v>2</v>
      </c>
      <c r="C311" s="5" t="s">
        <v>30</v>
      </c>
      <c r="D311" s="4" t="s">
        <v>327</v>
      </c>
      <c r="E311" s="4">
        <v>2024</v>
      </c>
      <c r="F311" s="4" t="str">
        <f>VLOOKUP(I311,'Трансп. каталог'!$F$3:$I$743,2,0)</f>
        <v>не позднее 20.12.2024</v>
      </c>
      <c r="G311" s="67" t="str">
        <f>VLOOKUP(I311,'Трансп. каталог'!$F$3:$I$743,3,0)</f>
        <v>с 1-го рабочего дня 
по 20 января после отчетного периода</v>
      </c>
      <c r="H311" s="24" t="s">
        <v>392</v>
      </c>
      <c r="I311" s="25" t="str">
        <f t="shared" si="5"/>
        <v>061101401012024</v>
      </c>
      <c r="J311" s="110" t="s">
        <v>705</v>
      </c>
      <c r="K311" s="110" t="s">
        <v>462</v>
      </c>
      <c r="L311" s="110" t="s">
        <v>705</v>
      </c>
      <c r="M311" s="104" t="s">
        <v>462</v>
      </c>
      <c r="N311" s="105" t="s">
        <v>464</v>
      </c>
      <c r="O311" s="105" t="s">
        <v>1384</v>
      </c>
      <c r="P311" s="4" t="s">
        <v>328</v>
      </c>
      <c r="Q311" s="4" t="s">
        <v>33</v>
      </c>
      <c r="R311" s="71"/>
    </row>
    <row r="312" spans="1:18" hidden="1" x14ac:dyDescent="0.2">
      <c r="A312" s="24" t="s">
        <v>354</v>
      </c>
      <c r="B312" s="5" t="s">
        <v>2</v>
      </c>
      <c r="C312" s="5" t="s">
        <v>30</v>
      </c>
      <c r="D312" s="4" t="s">
        <v>355</v>
      </c>
      <c r="E312" s="4" t="s">
        <v>706</v>
      </c>
      <c r="F312" s="4" t="str">
        <f>VLOOKUP(I312,'Трансп. каталог'!$F$3:$I$743,2,0)</f>
        <v>не позднее 25.04.2025</v>
      </c>
      <c r="G312" s="67" t="str">
        <f>VLOOKUP(I312,'Трансп. каталог'!$F$3:$I$743,3,0)</f>
        <v>с 30 апреля по 15 июня отчетного периода</v>
      </c>
      <c r="H312" s="24" t="s">
        <v>443</v>
      </c>
      <c r="I312" s="25" t="str">
        <f t="shared" si="5"/>
        <v>061101501012025</v>
      </c>
      <c r="J312" s="110" t="s">
        <v>512</v>
      </c>
      <c r="K312" s="110" t="s">
        <v>409</v>
      </c>
      <c r="L312" s="110" t="s">
        <v>512</v>
      </c>
      <c r="M312" s="104" t="s">
        <v>409</v>
      </c>
      <c r="N312" s="105" t="s">
        <v>625</v>
      </c>
      <c r="O312" s="105" t="s">
        <v>550</v>
      </c>
      <c r="P312" s="4" t="s">
        <v>325</v>
      </c>
      <c r="Q312" s="4" t="s">
        <v>33</v>
      </c>
      <c r="R312" s="71">
        <f>VLOOKUP(I312,'Трансп. каталог'!$F$3:$I$743,4,0)</f>
        <v>0</v>
      </c>
    </row>
    <row r="313" spans="1:18" hidden="1" x14ac:dyDescent="0.2">
      <c r="A313" s="24" t="s">
        <v>345</v>
      </c>
      <c r="B313" s="5" t="s">
        <v>12</v>
      </c>
      <c r="C313" s="5" t="s">
        <v>30</v>
      </c>
      <c r="D313" s="4" t="s">
        <v>346</v>
      </c>
      <c r="E313" s="4" t="s">
        <v>395</v>
      </c>
      <c r="F313" s="4" t="str">
        <f>VLOOKUP(I313,'Трансп. каталог'!$F$3:$I$743,2,0)</f>
        <v>не позднее 29.01.2025</v>
      </c>
      <c r="G313" s="67">
        <f>VLOOKUP(I313,'Трансп. каталог'!$F$3:$I$743,3,0)</f>
        <v>0</v>
      </c>
      <c r="H313" s="24" t="s">
        <v>396</v>
      </c>
      <c r="I313" s="25" t="str">
        <f t="shared" si="5"/>
        <v>061101612012025</v>
      </c>
      <c r="J313" s="110" t="s">
        <v>509</v>
      </c>
      <c r="K313" s="110" t="s">
        <v>509</v>
      </c>
      <c r="L313" s="110" t="s">
        <v>398</v>
      </c>
      <c r="M313" s="104" t="s">
        <v>509</v>
      </c>
      <c r="N313" s="105" t="s">
        <v>1401</v>
      </c>
      <c r="O313" s="105" t="s">
        <v>1401</v>
      </c>
      <c r="P313" s="4" t="s">
        <v>347</v>
      </c>
      <c r="Q313" s="4" t="s">
        <v>33</v>
      </c>
      <c r="R313" s="71" t="s">
        <v>1402</v>
      </c>
    </row>
    <row r="314" spans="1:18" hidden="1" x14ac:dyDescent="0.2">
      <c r="A314" s="24" t="s">
        <v>345</v>
      </c>
      <c r="B314" s="5" t="s">
        <v>12</v>
      </c>
      <c r="C314" s="5" t="s">
        <v>30</v>
      </c>
      <c r="D314" s="4" t="s">
        <v>346</v>
      </c>
      <c r="E314" s="4" t="s">
        <v>399</v>
      </c>
      <c r="F314" s="4" t="e">
        <f>VLOOKUP(I314,'Трансп. каталог'!$F$3:$I$743,2,0)</f>
        <v>#N/A</v>
      </c>
      <c r="G314" s="67" t="e">
        <f>VLOOKUP(I314,'Трансп. каталог'!$F$3:$I$743,3,0)</f>
        <v>#N/A</v>
      </c>
      <c r="H314" s="24" t="s">
        <v>400</v>
      </c>
      <c r="I314" s="25" t="str">
        <f t="shared" si="5"/>
        <v>061101612022025</v>
      </c>
      <c r="J314" s="110" t="s">
        <v>670</v>
      </c>
      <c r="K314" s="110" t="s">
        <v>670</v>
      </c>
      <c r="L314" s="110" t="s">
        <v>402</v>
      </c>
      <c r="M314" s="139">
        <v>45719</v>
      </c>
      <c r="N314" s="105"/>
      <c r="O314" s="105"/>
      <c r="P314" s="4" t="s">
        <v>347</v>
      </c>
      <c r="Q314" s="4" t="s">
        <v>33</v>
      </c>
      <c r="R314" s="71" t="s">
        <v>1402</v>
      </c>
    </row>
    <row r="315" spans="1:18" hidden="1" x14ac:dyDescent="0.2">
      <c r="A315" s="24" t="s">
        <v>345</v>
      </c>
      <c r="B315" s="5" t="s">
        <v>12</v>
      </c>
      <c r="C315" s="5" t="s">
        <v>30</v>
      </c>
      <c r="D315" s="4" t="s">
        <v>346</v>
      </c>
      <c r="E315" s="4" t="s">
        <v>403</v>
      </c>
      <c r="F315" s="4" t="e">
        <f>VLOOKUP(I315,'Трансп. каталог'!$F$3:$I$743,2,0)</f>
        <v>#N/A</v>
      </c>
      <c r="G315" s="67" t="e">
        <f>VLOOKUP(I315,'Трансп. каталог'!$F$3:$I$743,3,0)</f>
        <v>#N/A</v>
      </c>
      <c r="H315" s="24" t="s">
        <v>404</v>
      </c>
      <c r="I315" s="25" t="str">
        <f t="shared" si="5"/>
        <v>061101612032025</v>
      </c>
      <c r="J315" s="110" t="s">
        <v>406</v>
      </c>
      <c r="K315" s="110" t="s">
        <v>393</v>
      </c>
      <c r="L315" s="110" t="s">
        <v>406</v>
      </c>
      <c r="M315" s="104" t="s">
        <v>393</v>
      </c>
      <c r="N315" s="105" t="s">
        <v>469</v>
      </c>
      <c r="O315" s="105" t="s">
        <v>546</v>
      </c>
      <c r="P315" s="4" t="s">
        <v>347</v>
      </c>
      <c r="Q315" s="4" t="s">
        <v>33</v>
      </c>
      <c r="R315" s="71" t="s">
        <v>1402</v>
      </c>
    </row>
    <row r="316" spans="1:18" hidden="1" x14ac:dyDescent="0.2">
      <c r="A316" s="24" t="s">
        <v>345</v>
      </c>
      <c r="B316" s="5" t="s">
        <v>12</v>
      </c>
      <c r="C316" s="5" t="s">
        <v>30</v>
      </c>
      <c r="D316" s="4" t="s">
        <v>346</v>
      </c>
      <c r="E316" s="4" t="s">
        <v>407</v>
      </c>
      <c r="F316" s="4" t="e">
        <f>VLOOKUP(I316,'Трансп. каталог'!$F$3:$I$743,2,0)</f>
        <v>#N/A</v>
      </c>
      <c r="G316" s="67" t="e">
        <f>VLOOKUP(I316,'Трансп. каталог'!$F$3:$I$743,3,0)</f>
        <v>#N/A</v>
      </c>
      <c r="H316" s="24" t="s">
        <v>408</v>
      </c>
      <c r="I316" s="25" t="str">
        <f t="shared" si="5"/>
        <v>061101612042025</v>
      </c>
      <c r="J316" s="110" t="s">
        <v>603</v>
      </c>
      <c r="K316" s="110" t="s">
        <v>603</v>
      </c>
      <c r="L316" s="110" t="s">
        <v>410</v>
      </c>
      <c r="M316" s="104" t="s">
        <v>603</v>
      </c>
      <c r="N316" s="105" t="s">
        <v>444</v>
      </c>
      <c r="O316" s="105" t="s">
        <v>409</v>
      </c>
      <c r="P316" s="4" t="s">
        <v>347</v>
      </c>
      <c r="Q316" s="4" t="s">
        <v>33</v>
      </c>
      <c r="R316" s="71" t="s">
        <v>1402</v>
      </c>
    </row>
    <row r="317" spans="1:18" hidden="1" x14ac:dyDescent="0.2">
      <c r="A317" s="27" t="s">
        <v>345</v>
      </c>
      <c r="B317" s="28" t="s">
        <v>12</v>
      </c>
      <c r="C317" s="28" t="s">
        <v>30</v>
      </c>
      <c r="D317" s="26" t="s">
        <v>346</v>
      </c>
      <c r="E317" s="26" t="s">
        <v>411</v>
      </c>
      <c r="F317" s="26" t="e">
        <f>VLOOKUP(I317,'Трансп. каталог'!$F$3:$I$743,2,0)</f>
        <v>#N/A</v>
      </c>
      <c r="G317" s="68" t="e">
        <f>VLOOKUP(I317,'Трансп. каталог'!$F$3:$I$743,3,0)</f>
        <v>#N/A</v>
      </c>
      <c r="H317" s="27" t="s">
        <v>412</v>
      </c>
      <c r="I317" s="29" t="str">
        <f t="shared" si="5"/>
        <v>061101612052025</v>
      </c>
      <c r="J317" s="141" t="s">
        <v>624</v>
      </c>
      <c r="K317" s="141" t="s">
        <v>624</v>
      </c>
      <c r="L317" s="141" t="s">
        <v>414</v>
      </c>
      <c r="M317" s="104" t="s">
        <v>624</v>
      </c>
      <c r="N317" s="105" t="s">
        <v>472</v>
      </c>
      <c r="O317" s="105" t="s">
        <v>413</v>
      </c>
      <c r="P317" s="26" t="s">
        <v>347</v>
      </c>
      <c r="Q317" s="26" t="s">
        <v>33</v>
      </c>
      <c r="R317" s="72" t="s">
        <v>1402</v>
      </c>
    </row>
    <row r="318" spans="1:18" hidden="1" x14ac:dyDescent="0.2">
      <c r="A318" s="18" t="s">
        <v>345</v>
      </c>
      <c r="B318" s="3" t="s">
        <v>12</v>
      </c>
      <c r="C318" s="3" t="s">
        <v>30</v>
      </c>
      <c r="D318" s="2" t="s">
        <v>346</v>
      </c>
      <c r="E318" s="2" t="s">
        <v>415</v>
      </c>
      <c r="F318" s="2" t="e">
        <f>VLOOKUP(I318,'Трансп. каталог'!$F$3:$I$743,2,0)</f>
        <v>#N/A</v>
      </c>
      <c r="G318" s="65" t="e">
        <f>VLOOKUP(I318,'Трансп. каталог'!$F$3:$I$743,3,0)</f>
        <v>#N/A</v>
      </c>
      <c r="H318" s="18" t="s">
        <v>416</v>
      </c>
      <c r="I318" s="19" t="str">
        <f t="shared" si="5"/>
        <v>061101612062025</v>
      </c>
      <c r="J318" s="93" t="s">
        <v>1449</v>
      </c>
      <c r="K318" s="93" t="s">
        <v>483</v>
      </c>
      <c r="L318" s="93" t="s">
        <v>418</v>
      </c>
      <c r="M318" s="104" t="s">
        <v>483</v>
      </c>
      <c r="N318" s="88" t="s">
        <v>532</v>
      </c>
      <c r="O318" s="88" t="s">
        <v>473</v>
      </c>
      <c r="P318" s="2" t="s">
        <v>347</v>
      </c>
      <c r="Q318" s="2" t="s">
        <v>33</v>
      </c>
      <c r="R318" s="71" t="s">
        <v>1402</v>
      </c>
    </row>
    <row r="319" spans="1:18" hidden="1" x14ac:dyDescent="0.2">
      <c r="A319" s="21" t="s">
        <v>345</v>
      </c>
      <c r="B319" s="22" t="s">
        <v>12</v>
      </c>
      <c r="C319" s="22" t="s">
        <v>30</v>
      </c>
      <c r="D319" s="20" t="s">
        <v>346</v>
      </c>
      <c r="E319" s="20" t="s">
        <v>419</v>
      </c>
      <c r="F319" s="20" t="e">
        <f>VLOOKUP(I319,'Трансп. каталог'!$F$3:$I$743,2,0)</f>
        <v>#N/A</v>
      </c>
      <c r="G319" s="66" t="e">
        <f>VLOOKUP(I319,'Трансп. каталог'!$F$3:$I$743,3,0)</f>
        <v>#N/A</v>
      </c>
      <c r="H319" s="21" t="s">
        <v>420</v>
      </c>
      <c r="I319" s="23" t="str">
        <f t="shared" si="5"/>
        <v>061101612072025</v>
      </c>
      <c r="J319" s="42" t="s">
        <v>422</v>
      </c>
      <c r="K319" s="42" t="s">
        <v>627</v>
      </c>
      <c r="L319" s="42" t="s">
        <v>422</v>
      </c>
      <c r="M319" s="104" t="s">
        <v>627</v>
      </c>
      <c r="N319" s="88" t="s">
        <v>552</v>
      </c>
      <c r="O319" s="88" t="s">
        <v>627</v>
      </c>
      <c r="P319" s="20" t="s">
        <v>347</v>
      </c>
      <c r="Q319" s="20" t="s">
        <v>33</v>
      </c>
      <c r="R319" s="71" t="s">
        <v>1402</v>
      </c>
    </row>
    <row r="320" spans="1:18" hidden="1" x14ac:dyDescent="0.2">
      <c r="A320" s="24" t="s">
        <v>345</v>
      </c>
      <c r="B320" s="5" t="s">
        <v>12</v>
      </c>
      <c r="C320" s="5" t="s">
        <v>30</v>
      </c>
      <c r="D320" s="4" t="s">
        <v>346</v>
      </c>
      <c r="E320" s="4" t="s">
        <v>423</v>
      </c>
      <c r="F320" s="4" t="e">
        <f>VLOOKUP(I320,'Трансп. каталог'!$F$3:$I$743,2,0)</f>
        <v>#N/A</v>
      </c>
      <c r="G320" s="67" t="e">
        <f>VLOOKUP(I320,'Трансп. каталог'!$F$3:$I$743,3,0)</f>
        <v>#N/A</v>
      </c>
      <c r="H320" s="24" t="s">
        <v>424</v>
      </c>
      <c r="I320" s="25" t="str">
        <f t="shared" si="5"/>
        <v>061101612082025</v>
      </c>
      <c r="J320" s="43" t="s">
        <v>426</v>
      </c>
      <c r="K320" s="43" t="s">
        <v>607</v>
      </c>
      <c r="L320" s="43" t="s">
        <v>426</v>
      </c>
      <c r="M320" s="104" t="s">
        <v>607</v>
      </c>
      <c r="N320" s="88" t="s">
        <v>581</v>
      </c>
      <c r="O320" s="88" t="s">
        <v>425</v>
      </c>
      <c r="P320" s="4" t="s">
        <v>347</v>
      </c>
      <c r="Q320" s="4" t="s">
        <v>33</v>
      </c>
      <c r="R320" s="71" t="s">
        <v>1402</v>
      </c>
    </row>
    <row r="321" spans="1:18" hidden="1" x14ac:dyDescent="0.2">
      <c r="A321" s="24" t="s">
        <v>345</v>
      </c>
      <c r="B321" s="5" t="s">
        <v>12</v>
      </c>
      <c r="C321" s="5" t="s">
        <v>30</v>
      </c>
      <c r="D321" s="4" t="s">
        <v>346</v>
      </c>
      <c r="E321" s="4" t="s">
        <v>427</v>
      </c>
      <c r="F321" s="4" t="e">
        <f>VLOOKUP(I321,'Трансп. каталог'!$F$3:$I$743,2,0)</f>
        <v>#N/A</v>
      </c>
      <c r="G321" s="67" t="e">
        <f>VLOOKUP(I321,'Трансп. каталог'!$F$3:$I$743,3,0)</f>
        <v>#N/A</v>
      </c>
      <c r="H321" s="24" t="s">
        <v>428</v>
      </c>
      <c r="I321" s="25" t="str">
        <f t="shared" si="5"/>
        <v>061101612092025</v>
      </c>
      <c r="J321" s="43" t="s">
        <v>430</v>
      </c>
      <c r="K321" s="43" t="s">
        <v>485</v>
      </c>
      <c r="L321" s="43" t="s">
        <v>430</v>
      </c>
      <c r="M321" s="104" t="s">
        <v>485</v>
      </c>
      <c r="N321" s="88" t="s">
        <v>454</v>
      </c>
      <c r="O321" s="88" t="s">
        <v>485</v>
      </c>
      <c r="P321" s="4" t="s">
        <v>347</v>
      </c>
      <c r="Q321" s="4" t="s">
        <v>33</v>
      </c>
      <c r="R321" s="71" t="s">
        <v>1402</v>
      </c>
    </row>
    <row r="322" spans="1:18" hidden="1" x14ac:dyDescent="0.2">
      <c r="A322" s="24" t="s">
        <v>345</v>
      </c>
      <c r="B322" s="5" t="s">
        <v>12</v>
      </c>
      <c r="C322" s="5" t="s">
        <v>30</v>
      </c>
      <c r="D322" s="4" t="s">
        <v>346</v>
      </c>
      <c r="E322" s="4" t="s">
        <v>431</v>
      </c>
      <c r="F322" s="4" t="e">
        <f>VLOOKUP(I322,'Трансп. каталог'!$F$3:$I$743,2,0)</f>
        <v>#N/A</v>
      </c>
      <c r="G322" s="67" t="e">
        <f>VLOOKUP(I322,'Трансп. каталог'!$F$3:$I$743,3,0)</f>
        <v>#N/A</v>
      </c>
      <c r="H322" s="24" t="s">
        <v>432</v>
      </c>
      <c r="I322" s="25" t="str">
        <f t="shared" si="5"/>
        <v>061101612102025</v>
      </c>
      <c r="J322" s="43" t="s">
        <v>434</v>
      </c>
      <c r="K322" s="43" t="s">
        <v>602</v>
      </c>
      <c r="L322" s="43" t="s">
        <v>434</v>
      </c>
      <c r="M322" s="139">
        <v>45961</v>
      </c>
      <c r="N322" s="88" t="s">
        <v>556</v>
      </c>
      <c r="O322" s="88" t="s">
        <v>602</v>
      </c>
      <c r="P322" s="4" t="s">
        <v>347</v>
      </c>
      <c r="Q322" s="4" t="s">
        <v>33</v>
      </c>
      <c r="R322" s="71" t="s">
        <v>1402</v>
      </c>
    </row>
    <row r="323" spans="1:18" hidden="1" x14ac:dyDescent="0.2">
      <c r="A323" s="24" t="s">
        <v>345</v>
      </c>
      <c r="B323" s="5" t="s">
        <v>12</v>
      </c>
      <c r="C323" s="5" t="s">
        <v>30</v>
      </c>
      <c r="D323" s="4" t="s">
        <v>346</v>
      </c>
      <c r="E323" s="4" t="s">
        <v>435</v>
      </c>
      <c r="F323" s="4" t="e">
        <f>VLOOKUP(I323,'Трансп. каталог'!$F$3:$I$743,2,0)</f>
        <v>#N/A</v>
      </c>
      <c r="G323" s="67" t="e">
        <f>VLOOKUP(I323,'Трансп. каталог'!$F$3:$I$743,3,0)</f>
        <v>#N/A</v>
      </c>
      <c r="H323" s="24" t="s">
        <v>436</v>
      </c>
      <c r="I323" s="25" t="str">
        <f t="shared" si="5"/>
        <v>061101612112025</v>
      </c>
      <c r="J323" s="43" t="s">
        <v>438</v>
      </c>
      <c r="K323" s="43" t="s">
        <v>608</v>
      </c>
      <c r="L323" s="43" t="s">
        <v>438</v>
      </c>
      <c r="M323" s="139" t="s">
        <v>608</v>
      </c>
      <c r="N323" s="88" t="s">
        <v>583</v>
      </c>
      <c r="O323" s="88" t="s">
        <v>437</v>
      </c>
      <c r="P323" s="4" t="s">
        <v>347</v>
      </c>
      <c r="Q323" s="4" t="s">
        <v>33</v>
      </c>
      <c r="R323" s="71" t="s">
        <v>1402</v>
      </c>
    </row>
    <row r="324" spans="1:18" hidden="1" x14ac:dyDescent="0.2">
      <c r="A324" s="24" t="s">
        <v>345</v>
      </c>
      <c r="B324" s="5" t="s">
        <v>12</v>
      </c>
      <c r="C324" s="5" t="s">
        <v>30</v>
      </c>
      <c r="D324" s="4" t="s">
        <v>346</v>
      </c>
      <c r="E324" s="4" t="s">
        <v>439</v>
      </c>
      <c r="F324" s="4" t="e">
        <f>VLOOKUP(I324,'Трансп. каталог'!$F$3:$I$743,2,0)</f>
        <v>#N/A</v>
      </c>
      <c r="G324" s="67" t="e">
        <f>VLOOKUP(I324,'Трансп. каталог'!$F$3:$I$743,3,0)</f>
        <v>#N/A</v>
      </c>
      <c r="H324" s="24" t="s">
        <v>440</v>
      </c>
      <c r="I324" s="25" t="str">
        <f t="shared" si="5"/>
        <v>061101612122025</v>
      </c>
      <c r="J324" s="43" t="s">
        <v>481</v>
      </c>
      <c r="K324" s="43" t="s">
        <v>481</v>
      </c>
      <c r="L324" s="43" t="s">
        <v>707</v>
      </c>
      <c r="M324" s="139" t="s">
        <v>481</v>
      </c>
      <c r="N324" s="88" t="s">
        <v>1397</v>
      </c>
      <c r="O324" s="88" t="s">
        <v>617</v>
      </c>
      <c r="P324" s="4" t="s">
        <v>347</v>
      </c>
      <c r="Q324" s="4" t="s">
        <v>33</v>
      </c>
      <c r="R324" s="71" t="s">
        <v>1402</v>
      </c>
    </row>
    <row r="325" spans="1:18" hidden="1" x14ac:dyDescent="0.2">
      <c r="A325" s="24" t="s">
        <v>259</v>
      </c>
      <c r="B325" s="5" t="s">
        <v>2</v>
      </c>
      <c r="C325" s="5" t="s">
        <v>30</v>
      </c>
      <c r="D325" s="4" t="s">
        <v>260</v>
      </c>
      <c r="E325" s="4">
        <v>2024</v>
      </c>
      <c r="F325" s="4" t="str">
        <f>VLOOKUP(I325,'Трансп. каталог'!$F$3:$I$743,2,0)</f>
        <v>не позднее 25.12.2024</v>
      </c>
      <c r="G325" s="67" t="str">
        <f>VLOOKUP(I325,'Трансп. каталог'!$F$3:$I$743,3,0)</f>
        <v>с 1-го рабочего дня по 25-е января после отчетного периода</v>
      </c>
      <c r="H325" s="24" t="s">
        <v>392</v>
      </c>
      <c r="I325" s="25" t="str">
        <f t="shared" si="5"/>
        <v>061102001012024</v>
      </c>
      <c r="J325" s="110" t="s">
        <v>642</v>
      </c>
      <c r="K325" s="110" t="s">
        <v>462</v>
      </c>
      <c r="L325" s="110" t="s">
        <v>678</v>
      </c>
      <c r="M325" s="99" t="s">
        <v>462</v>
      </c>
      <c r="N325" s="95" t="s">
        <v>666</v>
      </c>
      <c r="O325" s="95" t="s">
        <v>522</v>
      </c>
      <c r="P325" s="4" t="s">
        <v>261</v>
      </c>
      <c r="Q325" s="4" t="s">
        <v>33</v>
      </c>
      <c r="R325" s="71">
        <f>VLOOKUP(I325,'Трансп. каталог'!$F$3:$I$743,4,0)</f>
        <v>0</v>
      </c>
    </row>
    <row r="326" spans="1:18" hidden="1" x14ac:dyDescent="0.2">
      <c r="A326" s="24" t="s">
        <v>338</v>
      </c>
      <c r="B326" s="5" t="s">
        <v>2</v>
      </c>
      <c r="C326" s="5" t="s">
        <v>30</v>
      </c>
      <c r="D326" s="4" t="s">
        <v>339</v>
      </c>
      <c r="E326" s="4">
        <v>2024</v>
      </c>
      <c r="F326" s="4" t="str">
        <f>VLOOKUP(I326,'Трансп. каталог'!$F$3:$I$743,2,0)</f>
        <v>не позднее 26.12.2024</v>
      </c>
      <c r="G326" s="67" t="str">
        <f>VLOOKUP(I326,'Трансп. каталог'!$F$3:$I$743,3,0)</f>
        <v xml:space="preserve">с 11 по 15 января
после отчетного периода
</v>
      </c>
      <c r="H326" s="24" t="s">
        <v>392</v>
      </c>
      <c r="I326" s="25" t="str">
        <f t="shared" si="5"/>
        <v>061102101012024</v>
      </c>
      <c r="J326" s="110" t="s">
        <v>464</v>
      </c>
      <c r="K326" s="110" t="s">
        <v>679</v>
      </c>
      <c r="L326" s="110" t="s">
        <v>464</v>
      </c>
      <c r="M326" s="115">
        <v>45667</v>
      </c>
      <c r="N326" s="95" t="s">
        <v>679</v>
      </c>
      <c r="O326" s="95" t="s">
        <v>466</v>
      </c>
      <c r="P326" s="4" t="s">
        <v>317</v>
      </c>
      <c r="Q326" s="4" t="s">
        <v>33</v>
      </c>
      <c r="R326" s="71">
        <f>VLOOKUP(I326,'Трансп. каталог'!$F$3:$I$743,4,0)</f>
        <v>0</v>
      </c>
    </row>
    <row r="327" spans="1:18" hidden="1" x14ac:dyDescent="0.2">
      <c r="A327" s="24" t="s">
        <v>315</v>
      </c>
      <c r="B327" s="5" t="s">
        <v>2</v>
      </c>
      <c r="C327" s="5" t="s">
        <v>30</v>
      </c>
      <c r="D327" s="4" t="s">
        <v>316</v>
      </c>
      <c r="E327" s="4">
        <v>2024</v>
      </c>
      <c r="F327" s="4" t="str">
        <f>VLOOKUP(I327,'Трансп. каталог'!$F$3:$I$743,2,0)</f>
        <v>не позднее 26.12.2024</v>
      </c>
      <c r="G327" s="67" t="str">
        <f>VLOOKUP(I327,'Трансп. каталог'!$F$3:$I$743,3,0)</f>
        <v xml:space="preserve">с 11 по 15 января 
после отчетного периода
</v>
      </c>
      <c r="H327" s="24" t="s">
        <v>392</v>
      </c>
      <c r="I327" s="25" t="str">
        <f t="shared" si="5"/>
        <v>061102201012024</v>
      </c>
      <c r="J327" s="110" t="s">
        <v>464</v>
      </c>
      <c r="K327" s="110" t="s">
        <v>679</v>
      </c>
      <c r="L327" s="110" t="s">
        <v>464</v>
      </c>
      <c r="M327" s="115">
        <v>45667</v>
      </c>
      <c r="N327" s="95" t="s">
        <v>679</v>
      </c>
      <c r="O327" s="95" t="s">
        <v>466</v>
      </c>
      <c r="P327" s="4" t="s">
        <v>317</v>
      </c>
      <c r="Q327" s="4" t="s">
        <v>33</v>
      </c>
      <c r="R327" s="71" t="s">
        <v>1421</v>
      </c>
    </row>
    <row r="328" spans="1:18" hidden="1" x14ac:dyDescent="0.2">
      <c r="A328" s="24" t="s">
        <v>363</v>
      </c>
      <c r="B328" s="5" t="s">
        <v>12</v>
      </c>
      <c r="C328" s="5" t="s">
        <v>30</v>
      </c>
      <c r="D328" s="4" t="s">
        <v>364</v>
      </c>
      <c r="E328" s="4">
        <v>2024</v>
      </c>
      <c r="F328" s="4" t="str">
        <f>VLOOKUP(I328,'Трансп. каталог'!$F$3:$I$743,2,0)</f>
        <v>не позднее 22.12.2024</v>
      </c>
      <c r="G328" s="67" t="str">
        <f>VLOOKUP(I328,'Трансп. каталог'!$F$3:$I$743,3,0)</f>
        <v xml:space="preserve">с 15 по 20 января
после отчетного периода
</v>
      </c>
      <c r="H328" s="24" t="s">
        <v>392</v>
      </c>
      <c r="I328" s="25" t="str">
        <f t="shared" si="5"/>
        <v>061102601012024</v>
      </c>
      <c r="J328" s="110" t="s">
        <v>705</v>
      </c>
      <c r="K328" s="110" t="s">
        <v>543</v>
      </c>
      <c r="L328" s="110" t="s">
        <v>705</v>
      </c>
      <c r="M328" s="99" t="s">
        <v>543</v>
      </c>
      <c r="N328" s="95" t="s">
        <v>464</v>
      </c>
      <c r="O328" s="95" t="s">
        <v>1384</v>
      </c>
      <c r="P328" s="4" t="s">
        <v>347</v>
      </c>
      <c r="Q328" s="4" t="s">
        <v>33</v>
      </c>
      <c r="R328" s="71"/>
    </row>
    <row r="329" spans="1:18" hidden="1" x14ac:dyDescent="0.2">
      <c r="A329" s="27" t="s">
        <v>310</v>
      </c>
      <c r="B329" s="28" t="s">
        <v>12</v>
      </c>
      <c r="C329" s="28" t="s">
        <v>3</v>
      </c>
      <c r="D329" s="26" t="s">
        <v>311</v>
      </c>
      <c r="E329" s="26" t="s">
        <v>446</v>
      </c>
      <c r="F329" s="26" t="str">
        <f>VLOOKUP(I329,'Трансп. каталог'!$F$3:$I$743,2,0)</f>
        <v>не позднее 29.01.2025</v>
      </c>
      <c r="G329" s="68">
        <f>VLOOKUP(I329,'Трансп. каталог'!$F$3:$I$743,3,0)</f>
        <v>0</v>
      </c>
      <c r="H329" s="27" t="s">
        <v>447</v>
      </c>
      <c r="I329" s="29" t="str">
        <f t="shared" si="5"/>
        <v>061200104012025</v>
      </c>
      <c r="J329" s="141" t="s">
        <v>658</v>
      </c>
      <c r="K329" s="141" t="s">
        <v>509</v>
      </c>
      <c r="L329" s="141" t="s">
        <v>669</v>
      </c>
      <c r="M329" s="99" t="s">
        <v>509</v>
      </c>
      <c r="N329" s="95" t="s">
        <v>460</v>
      </c>
      <c r="O329" s="95" t="s">
        <v>620</v>
      </c>
      <c r="P329" s="26" t="s">
        <v>136</v>
      </c>
      <c r="Q329" s="26" t="s">
        <v>16</v>
      </c>
      <c r="R329" s="71" t="s">
        <v>1402</v>
      </c>
    </row>
    <row r="330" spans="1:18" hidden="1" x14ac:dyDescent="0.2">
      <c r="A330" s="15" t="s">
        <v>310</v>
      </c>
      <c r="B330" s="16" t="s">
        <v>12</v>
      </c>
      <c r="C330" s="16" t="s">
        <v>3</v>
      </c>
      <c r="D330" s="14" t="s">
        <v>311</v>
      </c>
      <c r="E330" s="14" t="s">
        <v>449</v>
      </c>
      <c r="F330" s="14" t="e">
        <f>VLOOKUP(I330,'Трансп. каталог'!$F$3:$I$743,2,0)</f>
        <v>#N/A</v>
      </c>
      <c r="G330" s="64" t="e">
        <f>VLOOKUP(I330,'Трансп. каталог'!$F$3:$I$743,3,0)</f>
        <v>#N/A</v>
      </c>
      <c r="H330" s="15" t="s">
        <v>450</v>
      </c>
      <c r="I330" s="17" t="str">
        <f t="shared" si="5"/>
        <v>061200104022025</v>
      </c>
      <c r="J330" s="92" t="s">
        <v>549</v>
      </c>
      <c r="K330" s="92" t="s">
        <v>623</v>
      </c>
      <c r="L330" s="92" t="s">
        <v>696</v>
      </c>
      <c r="M330" s="99" t="s">
        <v>623</v>
      </c>
      <c r="N330" s="95" t="s">
        <v>603</v>
      </c>
      <c r="O330" s="95" t="s">
        <v>711</v>
      </c>
      <c r="P330" s="14" t="s">
        <v>136</v>
      </c>
      <c r="Q330" s="14" t="s">
        <v>16</v>
      </c>
      <c r="R330" s="73" t="s">
        <v>1402</v>
      </c>
    </row>
    <row r="331" spans="1:18" hidden="1" x14ac:dyDescent="0.2">
      <c r="A331" s="18" t="s">
        <v>310</v>
      </c>
      <c r="B331" s="3" t="s">
        <v>12</v>
      </c>
      <c r="C331" s="3" t="s">
        <v>3</v>
      </c>
      <c r="D331" s="2" t="s">
        <v>311</v>
      </c>
      <c r="E331" s="2" t="s">
        <v>452</v>
      </c>
      <c r="F331" s="2" t="e">
        <f>VLOOKUP(I331,'Трансп. каталог'!$F$3:$I$743,2,0)</f>
        <v>#N/A</v>
      </c>
      <c r="G331" s="65" t="e">
        <f>VLOOKUP(I331,'Трансп. каталог'!$F$3:$I$743,3,0)</f>
        <v>#N/A</v>
      </c>
      <c r="H331" s="18" t="s">
        <v>453</v>
      </c>
      <c r="I331" s="19" t="str">
        <f t="shared" si="5"/>
        <v>061200104032025</v>
      </c>
      <c r="J331" s="41" t="s">
        <v>502</v>
      </c>
      <c r="K331" s="41" t="s">
        <v>627</v>
      </c>
      <c r="L331" s="41" t="s">
        <v>673</v>
      </c>
      <c r="M331" s="83" t="s">
        <v>627</v>
      </c>
      <c r="N331" s="88" t="s">
        <v>597</v>
      </c>
      <c r="O331" s="88" t="s">
        <v>628</v>
      </c>
      <c r="P331" s="2" t="s">
        <v>136</v>
      </c>
      <c r="Q331" s="2" t="s">
        <v>16</v>
      </c>
      <c r="R331" s="74" t="s">
        <v>1402</v>
      </c>
    </row>
    <row r="332" spans="1:18" hidden="1" x14ac:dyDescent="0.2">
      <c r="A332" s="21" t="s">
        <v>310</v>
      </c>
      <c r="B332" s="22" t="s">
        <v>12</v>
      </c>
      <c r="C332" s="22" t="s">
        <v>3</v>
      </c>
      <c r="D332" s="20" t="s">
        <v>311</v>
      </c>
      <c r="E332" s="20" t="s">
        <v>456</v>
      </c>
      <c r="F332" s="20" t="e">
        <f>VLOOKUP(I332,'Трансп. каталог'!$F$3:$I$743,2,0)</f>
        <v>#N/A</v>
      </c>
      <c r="G332" s="66" t="e">
        <f>VLOOKUP(I332,'Трансп. каталог'!$F$3:$I$743,3,0)</f>
        <v>#N/A</v>
      </c>
      <c r="H332" s="21" t="s">
        <v>457</v>
      </c>
      <c r="I332" s="23" t="str">
        <f t="shared" si="5"/>
        <v>061200104042025</v>
      </c>
      <c r="J332" s="42" t="s">
        <v>695</v>
      </c>
      <c r="K332" s="42" t="s">
        <v>602</v>
      </c>
      <c r="L332" s="42" t="s">
        <v>613</v>
      </c>
      <c r="M332" s="83" t="s">
        <v>602</v>
      </c>
      <c r="N332" s="88" t="s">
        <v>434</v>
      </c>
      <c r="O332" s="88" t="s">
        <v>631</v>
      </c>
      <c r="P332" s="20" t="s">
        <v>136</v>
      </c>
      <c r="Q332" s="20" t="s">
        <v>16</v>
      </c>
      <c r="R332" s="75" t="s">
        <v>1402</v>
      </c>
    </row>
    <row r="333" spans="1:18" hidden="1" x14ac:dyDescent="0.2">
      <c r="A333" s="24" t="s">
        <v>67</v>
      </c>
      <c r="B333" s="5" t="s">
        <v>2</v>
      </c>
      <c r="C333" s="5" t="s">
        <v>30</v>
      </c>
      <c r="D333" s="4" t="s">
        <v>68</v>
      </c>
      <c r="E333" s="4" t="s">
        <v>395</v>
      </c>
      <c r="F333" s="4" t="str">
        <f>VLOOKUP(I333,'Трансп. каталог'!$F$3:$I$743,2,0)</f>
        <v>не позднее 30.01.2025</v>
      </c>
      <c r="G333" s="67">
        <f>VLOOKUP(I333,'Трансп. каталог'!$F$3:$I$743,3,0)</f>
        <v>0</v>
      </c>
      <c r="H333" s="24" t="s">
        <v>396</v>
      </c>
      <c r="I333" s="25" t="str">
        <f t="shared" si="5"/>
        <v>061200312012025</v>
      </c>
      <c r="J333" s="110" t="s">
        <v>589</v>
      </c>
      <c r="K333" s="110" t="s">
        <v>397</v>
      </c>
      <c r="L333" s="110" t="s">
        <v>497</v>
      </c>
      <c r="M333" s="138" t="s">
        <v>1401</v>
      </c>
      <c r="N333" s="138" t="s">
        <v>1401</v>
      </c>
      <c r="O333" s="138" t="s">
        <v>1401</v>
      </c>
      <c r="P333" s="4" t="s">
        <v>69</v>
      </c>
      <c r="Q333" s="4" t="s">
        <v>10</v>
      </c>
      <c r="R333" s="71" t="s">
        <v>1404</v>
      </c>
    </row>
    <row r="334" spans="1:18" hidden="1" x14ac:dyDescent="0.2">
      <c r="A334" s="24" t="s">
        <v>67</v>
      </c>
      <c r="B334" s="5" t="s">
        <v>2</v>
      </c>
      <c r="C334" s="5" t="s">
        <v>30</v>
      </c>
      <c r="D334" s="4" t="s">
        <v>68</v>
      </c>
      <c r="E334" s="4" t="s">
        <v>399</v>
      </c>
      <c r="F334" s="4" t="str">
        <f>VLOOKUP(I334,'Трансп. каталог'!$F$3:$I$743,2,0)</f>
        <v>не позднее 27.02.2025</v>
      </c>
      <c r="G334" s="67">
        <f>VLOOKUP(I334,'Трансп. каталог'!$F$3:$I$743,3,0)</f>
        <v>0</v>
      </c>
      <c r="H334" s="24" t="s">
        <v>400</v>
      </c>
      <c r="I334" s="25" t="str">
        <f t="shared" si="5"/>
        <v>061200312022025</v>
      </c>
      <c r="J334" s="110" t="s">
        <v>590</v>
      </c>
      <c r="K334" s="110" t="s">
        <v>401</v>
      </c>
      <c r="L334" s="110" t="s">
        <v>498</v>
      </c>
      <c r="M334" s="138" t="s">
        <v>1401</v>
      </c>
      <c r="N334" s="138" t="s">
        <v>1401</v>
      </c>
      <c r="O334" s="138" t="s">
        <v>1401</v>
      </c>
      <c r="P334" s="4" t="s">
        <v>69</v>
      </c>
      <c r="Q334" s="4" t="s">
        <v>10</v>
      </c>
      <c r="R334" s="71" t="s">
        <v>1404</v>
      </c>
    </row>
    <row r="335" spans="1:18" hidden="1" x14ac:dyDescent="0.2">
      <c r="A335" s="24" t="s">
        <v>67</v>
      </c>
      <c r="B335" s="5" t="s">
        <v>2</v>
      </c>
      <c r="C335" s="5" t="s">
        <v>30</v>
      </c>
      <c r="D335" s="4" t="s">
        <v>68</v>
      </c>
      <c r="E335" s="4" t="s">
        <v>403</v>
      </c>
      <c r="F335" s="4" t="str">
        <f>VLOOKUP(I335,'Трансп. каталог'!$F$3:$I$743,2,0)</f>
        <v>не позднее 28.03.2025</v>
      </c>
      <c r="G335" s="67">
        <f>VLOOKUP(I335,'Трансп. каталог'!$F$3:$I$743,3,0)</f>
        <v>0</v>
      </c>
      <c r="H335" s="24" t="s">
        <v>404</v>
      </c>
      <c r="I335" s="25" t="str">
        <f t="shared" si="5"/>
        <v>061200312032025</v>
      </c>
      <c r="J335" s="110" t="s">
        <v>591</v>
      </c>
      <c r="K335" s="110" t="s">
        <v>405</v>
      </c>
      <c r="L335" s="110" t="s">
        <v>499</v>
      </c>
      <c r="M335" s="138" t="s">
        <v>1401</v>
      </c>
      <c r="N335" s="138" t="s">
        <v>1401</v>
      </c>
      <c r="O335" s="138" t="s">
        <v>1401</v>
      </c>
      <c r="P335" s="4" t="s">
        <v>69</v>
      </c>
      <c r="Q335" s="4" t="s">
        <v>10</v>
      </c>
      <c r="R335" s="71" t="s">
        <v>1404</v>
      </c>
    </row>
    <row r="336" spans="1:18" hidden="1" x14ac:dyDescent="0.2">
      <c r="A336" s="24" t="s">
        <v>67</v>
      </c>
      <c r="B336" s="5" t="s">
        <v>2</v>
      </c>
      <c r="C336" s="5" t="s">
        <v>30</v>
      </c>
      <c r="D336" s="4" t="s">
        <v>68</v>
      </c>
      <c r="E336" s="4" t="s">
        <v>407</v>
      </c>
      <c r="F336" s="4" t="str">
        <f>VLOOKUP(I336,'Трансп. каталог'!$F$3:$I$743,2,0)</f>
        <v>не позднее 29.04.2025</v>
      </c>
      <c r="G336" s="67">
        <f>VLOOKUP(I336,'Трансп. каталог'!$F$3:$I$743,3,0)</f>
        <v>0</v>
      </c>
      <c r="H336" s="24" t="s">
        <v>408</v>
      </c>
      <c r="I336" s="25" t="str">
        <f t="shared" si="5"/>
        <v>061200312042025</v>
      </c>
      <c r="J336" s="110" t="s">
        <v>410</v>
      </c>
      <c r="K336" s="110" t="s">
        <v>409</v>
      </c>
      <c r="L336" s="110" t="s">
        <v>500</v>
      </c>
      <c r="M336" s="138" t="s">
        <v>1401</v>
      </c>
      <c r="N336" s="138" t="s">
        <v>1401</v>
      </c>
      <c r="O336" s="138" t="s">
        <v>1401</v>
      </c>
      <c r="P336" s="4" t="s">
        <v>69</v>
      </c>
      <c r="Q336" s="4" t="s">
        <v>10</v>
      </c>
      <c r="R336" s="71" t="s">
        <v>1404</v>
      </c>
    </row>
    <row r="337" spans="1:18" hidden="1" x14ac:dyDescent="0.2">
      <c r="A337" s="24" t="s">
        <v>67</v>
      </c>
      <c r="B337" s="5" t="s">
        <v>2</v>
      </c>
      <c r="C337" s="5" t="s">
        <v>30</v>
      </c>
      <c r="D337" s="4" t="s">
        <v>68</v>
      </c>
      <c r="E337" s="4" t="s">
        <v>411</v>
      </c>
      <c r="F337" s="4" t="str">
        <f>VLOOKUP(I337,'Трансп. каталог'!$F$3:$I$743,2,0)</f>
        <v>не позднее 29.05.2025</v>
      </c>
      <c r="G337" s="67">
        <f>VLOOKUP(I337,'Трансп. каталог'!$F$3:$I$743,3,0)</f>
        <v>0</v>
      </c>
      <c r="H337" s="24" t="s">
        <v>412</v>
      </c>
      <c r="I337" s="25" t="str">
        <f t="shared" si="5"/>
        <v>061200312052025</v>
      </c>
      <c r="J337" s="110" t="s">
        <v>593</v>
      </c>
      <c r="K337" s="110" t="s">
        <v>413</v>
      </c>
      <c r="L337" s="110" t="s">
        <v>445</v>
      </c>
      <c r="M337" s="138" t="s">
        <v>1401</v>
      </c>
      <c r="N337" s="138" t="s">
        <v>1401</v>
      </c>
      <c r="O337" s="138" t="s">
        <v>1401</v>
      </c>
      <c r="P337" s="4" t="s">
        <v>69</v>
      </c>
      <c r="Q337" s="4" t="s">
        <v>10</v>
      </c>
      <c r="R337" s="71" t="s">
        <v>1404</v>
      </c>
    </row>
    <row r="338" spans="1:18" hidden="1" x14ac:dyDescent="0.2">
      <c r="A338" s="24" t="s">
        <v>67</v>
      </c>
      <c r="B338" s="5" t="s">
        <v>2</v>
      </c>
      <c r="C338" s="5" t="s">
        <v>30</v>
      </c>
      <c r="D338" s="4" t="s">
        <v>68</v>
      </c>
      <c r="E338" s="4" t="s">
        <v>415</v>
      </c>
      <c r="F338" s="4" t="str">
        <f>VLOOKUP(I338,'Трансп. каталог'!$F$3:$I$743,2,0)</f>
        <v>не позднее 27.06.2025</v>
      </c>
      <c r="G338" s="67">
        <f>VLOOKUP(I338,'Трансп. каталог'!$F$3:$I$743,3,0)</f>
        <v>0</v>
      </c>
      <c r="H338" s="24" t="s">
        <v>416</v>
      </c>
      <c r="I338" s="25" t="str">
        <f t="shared" si="5"/>
        <v>061200312062025</v>
      </c>
      <c r="J338" s="110" t="s">
        <v>595</v>
      </c>
      <c r="K338" s="110" t="s">
        <v>417</v>
      </c>
      <c r="L338" s="110" t="s">
        <v>501</v>
      </c>
      <c r="M338" s="138" t="s">
        <v>1401</v>
      </c>
      <c r="N338" s="138" t="s">
        <v>1401</v>
      </c>
      <c r="O338" s="138" t="s">
        <v>1401</v>
      </c>
      <c r="P338" s="4" t="s">
        <v>69</v>
      </c>
      <c r="Q338" s="4" t="s">
        <v>10</v>
      </c>
      <c r="R338" s="71" t="s">
        <v>1404</v>
      </c>
    </row>
    <row r="339" spans="1:18" hidden="1" x14ac:dyDescent="0.2">
      <c r="A339" s="24" t="s">
        <v>67</v>
      </c>
      <c r="B339" s="5" t="s">
        <v>2</v>
      </c>
      <c r="C339" s="5" t="s">
        <v>30</v>
      </c>
      <c r="D339" s="4" t="s">
        <v>68</v>
      </c>
      <c r="E339" s="4" t="s">
        <v>419</v>
      </c>
      <c r="F339" s="4" t="str">
        <f>VLOOKUP(I339,'Трансп. каталог'!$F$3:$I$743,2,0)</f>
        <v>не позднее 30.07.2025</v>
      </c>
      <c r="G339" s="67">
        <f>VLOOKUP(I339,'Трансп. каталог'!$F$3:$I$743,3,0)</f>
        <v>0</v>
      </c>
      <c r="H339" s="24" t="s">
        <v>420</v>
      </c>
      <c r="I339" s="25" t="str">
        <f t="shared" ref="I339:I402" si="6">CONCATENATE(A339,H339)</f>
        <v>061200312072025</v>
      </c>
      <c r="J339" s="110" t="s">
        <v>597</v>
      </c>
      <c r="K339" s="110" t="s">
        <v>421</v>
      </c>
      <c r="L339" s="110" t="s">
        <v>502</v>
      </c>
      <c r="M339" s="158" t="s">
        <v>1401</v>
      </c>
      <c r="N339" s="158" t="s">
        <v>1401</v>
      </c>
      <c r="O339" s="158" t="s">
        <v>1401</v>
      </c>
      <c r="P339" s="4" t="s">
        <v>69</v>
      </c>
      <c r="Q339" s="4" t="s">
        <v>10</v>
      </c>
      <c r="R339" s="71" t="s">
        <v>1404</v>
      </c>
    </row>
    <row r="340" spans="1:18" hidden="1" x14ac:dyDescent="0.2">
      <c r="A340" s="24" t="s">
        <v>67</v>
      </c>
      <c r="B340" s="5" t="s">
        <v>2</v>
      </c>
      <c r="C340" s="5" t="s">
        <v>30</v>
      </c>
      <c r="D340" s="4" t="s">
        <v>68</v>
      </c>
      <c r="E340" s="4" t="s">
        <v>423</v>
      </c>
      <c r="F340" s="4" t="str">
        <f>VLOOKUP(I340,'Трансп. каталог'!$F$3:$I$743,2,0)</f>
        <v>не позднее 28.08.2025</v>
      </c>
      <c r="G340" s="67">
        <f>VLOOKUP(I340,'Трансп. каталог'!$F$3:$I$743,3,0)</f>
        <v>0</v>
      </c>
      <c r="H340" s="24" t="s">
        <v>424</v>
      </c>
      <c r="I340" s="25" t="str">
        <f t="shared" si="6"/>
        <v>061200312082025</v>
      </c>
      <c r="J340" s="43" t="s">
        <v>629</v>
      </c>
      <c r="K340" s="43" t="s">
        <v>425</v>
      </c>
      <c r="L340" s="43" t="s">
        <v>503</v>
      </c>
      <c r="M340" s="158" t="s">
        <v>1401</v>
      </c>
      <c r="N340" s="158" t="s">
        <v>1401</v>
      </c>
      <c r="O340" s="158" t="s">
        <v>1401</v>
      </c>
      <c r="P340" s="4" t="s">
        <v>69</v>
      </c>
      <c r="Q340" s="4" t="s">
        <v>10</v>
      </c>
      <c r="R340" s="71" t="s">
        <v>1404</v>
      </c>
    </row>
    <row r="341" spans="1:18" hidden="1" x14ac:dyDescent="0.2">
      <c r="A341" s="24" t="s">
        <v>67</v>
      </c>
      <c r="B341" s="5" t="s">
        <v>2</v>
      </c>
      <c r="C341" s="5" t="s">
        <v>30</v>
      </c>
      <c r="D341" s="4" t="s">
        <v>68</v>
      </c>
      <c r="E341" s="4" t="s">
        <v>427</v>
      </c>
      <c r="F341" s="4" t="str">
        <f>VLOOKUP(I341,'Трансп. каталог'!$F$3:$I$743,2,0)</f>
        <v>не позднее 29.09.2025</v>
      </c>
      <c r="G341" s="67">
        <f>VLOOKUP(I341,'Трансп. каталог'!$F$3:$I$743,3,0)</f>
        <v>0</v>
      </c>
      <c r="H341" s="24" t="s">
        <v>428</v>
      </c>
      <c r="I341" s="25" t="str">
        <f t="shared" si="6"/>
        <v>061200312092025</v>
      </c>
      <c r="J341" s="43" t="s">
        <v>574</v>
      </c>
      <c r="K341" s="43" t="s">
        <v>429</v>
      </c>
      <c r="L341" s="43" t="s">
        <v>504</v>
      </c>
      <c r="M341" s="158" t="s">
        <v>1401</v>
      </c>
      <c r="N341" s="158" t="s">
        <v>1401</v>
      </c>
      <c r="O341" s="158" t="s">
        <v>1401</v>
      </c>
      <c r="P341" s="4" t="s">
        <v>69</v>
      </c>
      <c r="Q341" s="4" t="s">
        <v>10</v>
      </c>
      <c r="R341" s="71" t="s">
        <v>1404</v>
      </c>
    </row>
    <row r="342" spans="1:18" hidden="1" x14ac:dyDescent="0.2">
      <c r="A342" s="27" t="s">
        <v>67</v>
      </c>
      <c r="B342" s="28" t="s">
        <v>2</v>
      </c>
      <c r="C342" s="28" t="s">
        <v>30</v>
      </c>
      <c r="D342" s="26" t="s">
        <v>68</v>
      </c>
      <c r="E342" s="26" t="s">
        <v>431</v>
      </c>
      <c r="F342" s="26" t="str">
        <f>VLOOKUP(I342,'Трансп. каталог'!$F$3:$I$743,2,0)</f>
        <v>не позднее 30.10.2025</v>
      </c>
      <c r="G342" s="68">
        <f>VLOOKUP(I342,'Трансп. каталог'!$F$3:$I$743,3,0)</f>
        <v>0</v>
      </c>
      <c r="H342" s="27" t="s">
        <v>432</v>
      </c>
      <c r="I342" s="29" t="str">
        <f t="shared" si="6"/>
        <v>061200312102025</v>
      </c>
      <c r="J342" s="44" t="s">
        <v>478</v>
      </c>
      <c r="K342" s="44" t="s">
        <v>433</v>
      </c>
      <c r="L342" s="44" t="s">
        <v>505</v>
      </c>
      <c r="M342" s="164" t="s">
        <v>1401</v>
      </c>
      <c r="N342" s="164" t="s">
        <v>1401</v>
      </c>
      <c r="O342" s="164" t="s">
        <v>1401</v>
      </c>
      <c r="P342" s="26" t="s">
        <v>69</v>
      </c>
      <c r="Q342" s="26" t="s">
        <v>10</v>
      </c>
      <c r="R342" s="72" t="s">
        <v>1404</v>
      </c>
    </row>
    <row r="343" spans="1:18" hidden="1" x14ac:dyDescent="0.2">
      <c r="A343" s="15" t="s">
        <v>67</v>
      </c>
      <c r="B343" s="16" t="s">
        <v>2</v>
      </c>
      <c r="C343" s="16" t="s">
        <v>30</v>
      </c>
      <c r="D343" s="14" t="s">
        <v>68</v>
      </c>
      <c r="E343" s="14" t="s">
        <v>435</v>
      </c>
      <c r="F343" s="14" t="str">
        <f>VLOOKUP(I343,'Трансп. каталог'!$F$3:$I$743,2,0)</f>
        <v>не позднее 27.11.2025</v>
      </c>
      <c r="G343" s="64">
        <f>VLOOKUP(I343,'Трансп. каталог'!$F$3:$I$743,3,0)</f>
        <v>0</v>
      </c>
      <c r="H343" s="15" t="s">
        <v>436</v>
      </c>
      <c r="I343" s="17" t="str">
        <f t="shared" si="6"/>
        <v>061200312112025</v>
      </c>
      <c r="J343" s="40" t="s">
        <v>632</v>
      </c>
      <c r="K343" s="40" t="s">
        <v>437</v>
      </c>
      <c r="L343" s="40" t="s">
        <v>506</v>
      </c>
      <c r="M343" s="156" t="s">
        <v>1401</v>
      </c>
      <c r="N343" s="156" t="s">
        <v>1401</v>
      </c>
      <c r="O343" s="156" t="s">
        <v>1401</v>
      </c>
      <c r="P343" s="14" t="s">
        <v>69</v>
      </c>
      <c r="Q343" s="14" t="s">
        <v>10</v>
      </c>
      <c r="R343" s="73" t="s">
        <v>1404</v>
      </c>
    </row>
    <row r="344" spans="1:18" hidden="1" x14ac:dyDescent="0.2">
      <c r="A344" s="15" t="s">
        <v>67</v>
      </c>
      <c r="B344" s="16" t="s">
        <v>2</v>
      </c>
      <c r="C344" s="16" t="s">
        <v>30</v>
      </c>
      <c r="D344" s="14" t="s">
        <v>68</v>
      </c>
      <c r="E344" s="14" t="s">
        <v>439</v>
      </c>
      <c r="F344" s="14" t="str">
        <f>VLOOKUP(I344,'Трансп. каталог'!$F$3:$I$743,2,0)</f>
        <v>не позднее 26.12.2025</v>
      </c>
      <c r="G344" s="64">
        <f>VLOOKUP(I344,'Трансп. каталог'!$F$3:$I$743,3,0)</f>
        <v>0</v>
      </c>
      <c r="H344" s="15" t="s">
        <v>440</v>
      </c>
      <c r="I344" s="17" t="str">
        <f t="shared" si="6"/>
        <v>061200312122025</v>
      </c>
      <c r="J344" s="40" t="s">
        <v>442</v>
      </c>
      <c r="K344" s="40" t="s">
        <v>441</v>
      </c>
      <c r="L344" s="40" t="s">
        <v>507</v>
      </c>
      <c r="M344" s="156" t="s">
        <v>1401</v>
      </c>
      <c r="N344" s="156" t="s">
        <v>1401</v>
      </c>
      <c r="O344" s="156" t="s">
        <v>1401</v>
      </c>
      <c r="P344" s="14" t="s">
        <v>69</v>
      </c>
      <c r="Q344" s="14" t="s">
        <v>10</v>
      </c>
      <c r="R344" s="73" t="s">
        <v>1404</v>
      </c>
    </row>
    <row r="345" spans="1:18" hidden="1" x14ac:dyDescent="0.2">
      <c r="A345" s="18" t="s">
        <v>134</v>
      </c>
      <c r="B345" s="3" t="s">
        <v>2</v>
      </c>
      <c r="C345" s="3" t="s">
        <v>3</v>
      </c>
      <c r="D345" s="2" t="s">
        <v>135</v>
      </c>
      <c r="E345" s="2">
        <v>2024</v>
      </c>
      <c r="F345" s="2" t="str">
        <f>VLOOKUP(I345,'Трансп. каталог'!$F$3:$I$743,2,0)</f>
        <v>не позднее 25.12.2024</v>
      </c>
      <c r="G345" s="65" t="str">
        <f>VLOOKUP(I345,'Трансп. каталог'!$F$3:$I$743,3,0)</f>
        <v>с 1-го рабочего дня января по 25 января после отчетного периода</v>
      </c>
      <c r="H345" s="18" t="s">
        <v>392</v>
      </c>
      <c r="I345" s="19" t="str">
        <f t="shared" si="6"/>
        <v>061200701012024</v>
      </c>
      <c r="J345" s="93" t="s">
        <v>678</v>
      </c>
      <c r="K345" s="93" t="s">
        <v>462</v>
      </c>
      <c r="L345" s="93" t="s">
        <v>636</v>
      </c>
      <c r="M345" s="99" t="s">
        <v>462</v>
      </c>
      <c r="N345" s="167" t="s">
        <v>1401</v>
      </c>
      <c r="O345" s="167" t="s">
        <v>1401</v>
      </c>
      <c r="P345" s="2" t="s">
        <v>136</v>
      </c>
      <c r="Q345" s="2"/>
      <c r="R345" s="73" t="s">
        <v>1422</v>
      </c>
    </row>
    <row r="346" spans="1:18" hidden="1" x14ac:dyDescent="0.2">
      <c r="A346" s="21" t="s">
        <v>384</v>
      </c>
      <c r="B346" s="22" t="s">
        <v>2</v>
      </c>
      <c r="C346" s="5" t="s">
        <v>30</v>
      </c>
      <c r="D346" s="20" t="s">
        <v>385</v>
      </c>
      <c r="E346" s="20" t="s">
        <v>395</v>
      </c>
      <c r="F346" s="20" t="str">
        <f>VLOOKUP(I346,'Трансп. каталог'!$F$3:$I$743,2,0)</f>
        <v>не позднее 31.01.2025</v>
      </c>
      <c r="G346" s="66">
        <f>VLOOKUP(I346,'Трансп. каталог'!$F$3:$I$743,3,0)</f>
        <v>0</v>
      </c>
      <c r="H346" s="21" t="s">
        <v>396</v>
      </c>
      <c r="I346" s="23" t="str">
        <f t="shared" si="6"/>
        <v>061200812012025</v>
      </c>
      <c r="J346" s="94" t="s">
        <v>509</v>
      </c>
      <c r="K346" s="94" t="s">
        <v>509</v>
      </c>
      <c r="L346" s="94" t="s">
        <v>497</v>
      </c>
      <c r="M346" s="167" t="s">
        <v>1401</v>
      </c>
      <c r="N346" s="167" t="s">
        <v>1401</v>
      </c>
      <c r="O346" s="167" t="s">
        <v>1401</v>
      </c>
      <c r="P346" s="20" t="s">
        <v>386</v>
      </c>
      <c r="Q346" s="20"/>
      <c r="R346" s="75" t="s">
        <v>1404</v>
      </c>
    </row>
    <row r="347" spans="1:18" hidden="1" x14ac:dyDescent="0.2">
      <c r="A347" s="24" t="s">
        <v>384</v>
      </c>
      <c r="B347" s="5" t="s">
        <v>2</v>
      </c>
      <c r="C347" s="5" t="s">
        <v>30</v>
      </c>
      <c r="D347" s="4" t="s">
        <v>385</v>
      </c>
      <c r="E347" s="4" t="s">
        <v>399</v>
      </c>
      <c r="F347" s="4" t="str">
        <f>VLOOKUP(I347,'Трансп. каталог'!$F$3:$I$743,2,0)</f>
        <v>не позднее 28.02.2025</v>
      </c>
      <c r="G347" s="67">
        <f>VLOOKUP(I347,'Трансп. каталог'!$F$3:$I$743,3,0)</f>
        <v>0</v>
      </c>
      <c r="H347" s="24" t="s">
        <v>400</v>
      </c>
      <c r="I347" s="25" t="str">
        <f t="shared" si="6"/>
        <v>061200812022025</v>
      </c>
      <c r="J347" s="110" t="s">
        <v>670</v>
      </c>
      <c r="K347" s="110" t="s">
        <v>670</v>
      </c>
      <c r="L347" s="110" t="s">
        <v>498</v>
      </c>
      <c r="M347" s="138" t="s">
        <v>1401</v>
      </c>
      <c r="N347" s="138" t="s">
        <v>1401</v>
      </c>
      <c r="O347" s="138" t="s">
        <v>1401</v>
      </c>
      <c r="P347" s="4" t="s">
        <v>386</v>
      </c>
      <c r="Q347" s="4"/>
      <c r="R347" s="71" t="s">
        <v>1404</v>
      </c>
    </row>
    <row r="348" spans="1:18" hidden="1" x14ac:dyDescent="0.2">
      <c r="A348" s="27" t="s">
        <v>384</v>
      </c>
      <c r="B348" s="28" t="s">
        <v>2</v>
      </c>
      <c r="C348" s="5" t="s">
        <v>30</v>
      </c>
      <c r="D348" s="26" t="s">
        <v>385</v>
      </c>
      <c r="E348" s="26" t="s">
        <v>403</v>
      </c>
      <c r="F348" s="26" t="str">
        <f>VLOOKUP(I348,'Трансп. каталог'!$F$3:$I$743,2,0)</f>
        <v>не позднее 01.04.2025</v>
      </c>
      <c r="G348" s="68">
        <f>VLOOKUP(I348,'Трансп. каталог'!$F$3:$I$743,3,0)</f>
        <v>0</v>
      </c>
      <c r="H348" s="27" t="s">
        <v>404</v>
      </c>
      <c r="I348" s="29" t="str">
        <f t="shared" si="6"/>
        <v>061200812032025</v>
      </c>
      <c r="J348" s="110" t="s">
        <v>710</v>
      </c>
      <c r="K348" s="110" t="s">
        <v>393</v>
      </c>
      <c r="L348" s="110" t="s">
        <v>499</v>
      </c>
      <c r="M348" s="138" t="s">
        <v>1401</v>
      </c>
      <c r="N348" s="138" t="s">
        <v>1401</v>
      </c>
      <c r="O348" s="138" t="s">
        <v>1401</v>
      </c>
      <c r="P348" s="26" t="s">
        <v>386</v>
      </c>
      <c r="Q348" s="26"/>
      <c r="R348" s="72" t="s">
        <v>1404</v>
      </c>
    </row>
    <row r="349" spans="1:18" hidden="1" x14ac:dyDescent="0.2">
      <c r="A349" s="15" t="s">
        <v>384</v>
      </c>
      <c r="B349" s="16" t="s">
        <v>2</v>
      </c>
      <c r="C349" s="5" t="s">
        <v>30</v>
      </c>
      <c r="D349" s="14" t="s">
        <v>385</v>
      </c>
      <c r="E349" s="14" t="s">
        <v>407</v>
      </c>
      <c r="F349" s="14" t="str">
        <f>VLOOKUP(I349,'Трансп. каталог'!$F$3:$I$743,2,0)</f>
        <v>не позднее 30.04.2025</v>
      </c>
      <c r="G349" s="64">
        <f>VLOOKUP(I349,'Трансп. каталог'!$F$3:$I$743,3,0)</f>
        <v>0</v>
      </c>
      <c r="H349" s="15" t="s">
        <v>408</v>
      </c>
      <c r="I349" s="17" t="str">
        <f t="shared" si="6"/>
        <v>061200812042025</v>
      </c>
      <c r="J349" s="92" t="s">
        <v>603</v>
      </c>
      <c r="K349" s="92" t="s">
        <v>603</v>
      </c>
      <c r="L349" s="92" t="s">
        <v>500</v>
      </c>
      <c r="M349" s="138" t="s">
        <v>1401</v>
      </c>
      <c r="N349" s="138" t="s">
        <v>1401</v>
      </c>
      <c r="O349" s="138" t="s">
        <v>1401</v>
      </c>
      <c r="P349" s="14" t="s">
        <v>386</v>
      </c>
      <c r="Q349" s="14"/>
      <c r="R349" s="73" t="s">
        <v>1404</v>
      </c>
    </row>
    <row r="350" spans="1:18" hidden="1" x14ac:dyDescent="0.2">
      <c r="A350" s="15" t="s">
        <v>384</v>
      </c>
      <c r="B350" s="16" t="s">
        <v>2</v>
      </c>
      <c r="C350" s="5" t="s">
        <v>30</v>
      </c>
      <c r="D350" s="14" t="s">
        <v>385</v>
      </c>
      <c r="E350" s="14" t="s">
        <v>411</v>
      </c>
      <c r="F350" s="14" t="str">
        <f>VLOOKUP(I350,'Трансп. каталог'!$F$3:$I$743,2,0)</f>
        <v>не позднее 02.06.2025</v>
      </c>
      <c r="G350" s="64">
        <f>VLOOKUP(I350,'Трансп. каталог'!$F$3:$I$743,3,0)</f>
        <v>0</v>
      </c>
      <c r="H350" s="15" t="s">
        <v>412</v>
      </c>
      <c r="I350" s="17" t="str">
        <f t="shared" si="6"/>
        <v>061200812052025</v>
      </c>
      <c r="J350" s="92" t="s">
        <v>414</v>
      </c>
      <c r="K350" s="92" t="s">
        <v>624</v>
      </c>
      <c r="L350" s="92" t="s">
        <v>445</v>
      </c>
      <c r="M350" s="138" t="s">
        <v>1401</v>
      </c>
      <c r="N350" s="138" t="s">
        <v>1401</v>
      </c>
      <c r="O350" s="138" t="s">
        <v>1401</v>
      </c>
      <c r="P350" s="14" t="s">
        <v>386</v>
      </c>
      <c r="Q350" s="14"/>
      <c r="R350" s="73" t="s">
        <v>1404</v>
      </c>
    </row>
    <row r="351" spans="1:18" hidden="1" x14ac:dyDescent="0.2">
      <c r="A351" s="15" t="s">
        <v>384</v>
      </c>
      <c r="B351" s="16" t="s">
        <v>2</v>
      </c>
      <c r="C351" s="5" t="s">
        <v>30</v>
      </c>
      <c r="D351" s="14" t="s">
        <v>385</v>
      </c>
      <c r="E351" s="14" t="s">
        <v>415</v>
      </c>
      <c r="F351" s="14" t="str">
        <f>VLOOKUP(I351,'Трансп. каталог'!$F$3:$I$743,2,0)</f>
        <v>не позднее 01.07.2025</v>
      </c>
      <c r="G351" s="64">
        <f>VLOOKUP(I351,'Трансп. каталог'!$F$3:$I$743,3,0)</f>
        <v>0</v>
      </c>
      <c r="H351" s="15" t="s">
        <v>416</v>
      </c>
      <c r="I351" s="17" t="str">
        <f t="shared" si="6"/>
        <v>061200812062025</v>
      </c>
      <c r="J351" s="92" t="s">
        <v>713</v>
      </c>
      <c r="K351" s="92" t="s">
        <v>483</v>
      </c>
      <c r="L351" s="92" t="s">
        <v>501</v>
      </c>
      <c r="M351" s="156" t="s">
        <v>1401</v>
      </c>
      <c r="N351" s="156" t="s">
        <v>1401</v>
      </c>
      <c r="O351" s="156" t="s">
        <v>1401</v>
      </c>
      <c r="P351" s="14" t="s">
        <v>386</v>
      </c>
      <c r="Q351" s="14"/>
      <c r="R351" s="73" t="s">
        <v>1404</v>
      </c>
    </row>
    <row r="352" spans="1:18" hidden="1" x14ac:dyDescent="0.2">
      <c r="A352" s="15" t="s">
        <v>384</v>
      </c>
      <c r="B352" s="16" t="s">
        <v>2</v>
      </c>
      <c r="C352" s="5" t="s">
        <v>30</v>
      </c>
      <c r="D352" s="14" t="s">
        <v>385</v>
      </c>
      <c r="E352" s="14" t="s">
        <v>419</v>
      </c>
      <c r="F352" s="14" t="str">
        <f>VLOOKUP(I352,'Трансп. каталог'!$F$3:$I$743,2,0)</f>
        <v>не позднее 01.08.2025</v>
      </c>
      <c r="G352" s="64">
        <f>VLOOKUP(I352,'Трансп. каталог'!$F$3:$I$743,3,0)</f>
        <v>0</v>
      </c>
      <c r="H352" s="15" t="s">
        <v>420</v>
      </c>
      <c r="I352" s="17" t="str">
        <f t="shared" si="6"/>
        <v>061200812072025</v>
      </c>
      <c r="J352" s="40" t="s">
        <v>422</v>
      </c>
      <c r="K352" s="40" t="s">
        <v>627</v>
      </c>
      <c r="L352" s="40" t="s">
        <v>502</v>
      </c>
      <c r="M352" s="156" t="s">
        <v>1401</v>
      </c>
      <c r="N352" s="156" t="s">
        <v>1401</v>
      </c>
      <c r="O352" s="156" t="s">
        <v>1401</v>
      </c>
      <c r="P352" s="14" t="s">
        <v>386</v>
      </c>
      <c r="Q352" s="14"/>
      <c r="R352" s="73" t="s">
        <v>1404</v>
      </c>
    </row>
    <row r="353" spans="1:18" hidden="1" x14ac:dyDescent="0.2">
      <c r="A353" s="15" t="s">
        <v>384</v>
      </c>
      <c r="B353" s="16" t="s">
        <v>2</v>
      </c>
      <c r="C353" s="5" t="s">
        <v>30</v>
      </c>
      <c r="D353" s="14" t="s">
        <v>385</v>
      </c>
      <c r="E353" s="14" t="s">
        <v>423</v>
      </c>
      <c r="F353" s="14" t="str">
        <f>VLOOKUP(I353,'Трансп. каталог'!$F$3:$I$743,2,0)</f>
        <v>не позднее 01.09.2025</v>
      </c>
      <c r="G353" s="64">
        <f>VLOOKUP(I353,'Трансп. каталог'!$F$3:$I$743,3,0)</f>
        <v>0</v>
      </c>
      <c r="H353" s="15" t="s">
        <v>424</v>
      </c>
      <c r="I353" s="17" t="str">
        <f t="shared" si="6"/>
        <v>061200812082025</v>
      </c>
      <c r="J353" s="40" t="s">
        <v>714</v>
      </c>
      <c r="K353" s="40" t="s">
        <v>607</v>
      </c>
      <c r="L353" s="40" t="s">
        <v>503</v>
      </c>
      <c r="M353" s="156" t="s">
        <v>1401</v>
      </c>
      <c r="N353" s="156" t="s">
        <v>1401</v>
      </c>
      <c r="O353" s="156" t="s">
        <v>1401</v>
      </c>
      <c r="P353" s="14" t="s">
        <v>386</v>
      </c>
      <c r="Q353" s="14"/>
      <c r="R353" s="73" t="s">
        <v>1404</v>
      </c>
    </row>
    <row r="354" spans="1:18" hidden="1" x14ac:dyDescent="0.2">
      <c r="A354" s="18" t="s">
        <v>384</v>
      </c>
      <c r="B354" s="3" t="s">
        <v>2</v>
      </c>
      <c r="C354" s="5" t="s">
        <v>30</v>
      </c>
      <c r="D354" s="2" t="s">
        <v>385</v>
      </c>
      <c r="E354" s="2" t="s">
        <v>427</v>
      </c>
      <c r="F354" s="2" t="str">
        <f>VLOOKUP(I354,'Трансп. каталог'!$F$3:$I$743,2,0)</f>
        <v>не позднее 01.10.2025</v>
      </c>
      <c r="G354" s="65">
        <f>VLOOKUP(I354,'Трансп. каталог'!$F$3:$I$743,3,0)</f>
        <v>0</v>
      </c>
      <c r="H354" s="18" t="s">
        <v>428</v>
      </c>
      <c r="I354" s="19" t="str">
        <f t="shared" si="6"/>
        <v>061200812092025</v>
      </c>
      <c r="J354" s="41" t="s">
        <v>715</v>
      </c>
      <c r="K354" s="41" t="s">
        <v>485</v>
      </c>
      <c r="L354" s="41" t="s">
        <v>504</v>
      </c>
      <c r="M354" s="100" t="s">
        <v>1401</v>
      </c>
      <c r="N354" s="100" t="s">
        <v>1401</v>
      </c>
      <c r="O354" s="100" t="s">
        <v>1401</v>
      </c>
      <c r="P354" s="2" t="s">
        <v>386</v>
      </c>
      <c r="Q354" s="2"/>
      <c r="R354" s="74" t="s">
        <v>1404</v>
      </c>
    </row>
    <row r="355" spans="1:18" hidden="1" x14ac:dyDescent="0.2">
      <c r="A355" s="21" t="s">
        <v>384</v>
      </c>
      <c r="B355" s="3" t="s">
        <v>2</v>
      </c>
      <c r="C355" s="5" t="s">
        <v>30</v>
      </c>
      <c r="D355" s="20" t="s">
        <v>385</v>
      </c>
      <c r="E355" s="20" t="s">
        <v>431</v>
      </c>
      <c r="F355" s="20" t="str">
        <f>VLOOKUP(I355,'Трансп. каталог'!$F$3:$I$743,2,0)</f>
        <v>не позднее 01.11.2025</v>
      </c>
      <c r="G355" s="66">
        <f>VLOOKUP(I355,'Трансп. каталог'!$F$3:$I$743,3,0)</f>
        <v>0</v>
      </c>
      <c r="H355" s="21" t="s">
        <v>432</v>
      </c>
      <c r="I355" s="23" t="str">
        <f t="shared" si="6"/>
        <v>061200812102025</v>
      </c>
      <c r="J355" s="42" t="s">
        <v>434</v>
      </c>
      <c r="K355" s="42" t="s">
        <v>602</v>
      </c>
      <c r="L355" s="42" t="s">
        <v>505</v>
      </c>
      <c r="M355" s="159" t="s">
        <v>1401</v>
      </c>
      <c r="N355" s="159" t="s">
        <v>1401</v>
      </c>
      <c r="O355" s="159" t="s">
        <v>1401</v>
      </c>
      <c r="P355" s="20" t="s">
        <v>386</v>
      </c>
      <c r="Q355" s="20"/>
      <c r="R355" s="75" t="s">
        <v>1404</v>
      </c>
    </row>
    <row r="356" spans="1:18" hidden="1" x14ac:dyDescent="0.2">
      <c r="A356" s="24" t="s">
        <v>384</v>
      </c>
      <c r="B356" s="3" t="s">
        <v>2</v>
      </c>
      <c r="C356" s="5" t="s">
        <v>30</v>
      </c>
      <c r="D356" s="4" t="s">
        <v>385</v>
      </c>
      <c r="E356" s="4" t="s">
        <v>435</v>
      </c>
      <c r="F356" s="4" t="str">
        <f>VLOOKUP(I356,'Трансп. каталог'!$F$3:$I$743,2,0)</f>
        <v>не позднее 01.12.2025</v>
      </c>
      <c r="G356" s="67">
        <f>VLOOKUP(I356,'Трансп. каталог'!$F$3:$I$743,3,0)</f>
        <v>0</v>
      </c>
      <c r="H356" s="24" t="s">
        <v>436</v>
      </c>
      <c r="I356" s="25" t="str">
        <f t="shared" si="6"/>
        <v>061200812112025</v>
      </c>
      <c r="J356" s="43" t="s">
        <v>716</v>
      </c>
      <c r="K356" s="43" t="s">
        <v>608</v>
      </c>
      <c r="L356" s="43" t="s">
        <v>506</v>
      </c>
      <c r="M356" s="158" t="s">
        <v>1401</v>
      </c>
      <c r="N356" s="158" t="s">
        <v>1401</v>
      </c>
      <c r="O356" s="158" t="s">
        <v>1401</v>
      </c>
      <c r="P356" s="4" t="s">
        <v>386</v>
      </c>
      <c r="Q356" s="4"/>
      <c r="R356" s="71" t="s">
        <v>1404</v>
      </c>
    </row>
    <row r="357" spans="1:18" hidden="1" x14ac:dyDescent="0.2">
      <c r="A357" s="27" t="s">
        <v>384</v>
      </c>
      <c r="B357" s="3" t="s">
        <v>2</v>
      </c>
      <c r="C357" s="5" t="s">
        <v>30</v>
      </c>
      <c r="D357" s="26" t="s">
        <v>385</v>
      </c>
      <c r="E357" s="26" t="s">
        <v>439</v>
      </c>
      <c r="F357" s="26" t="str">
        <f>VLOOKUP(I357,'Трансп. каталог'!$F$3:$I$743,2,0)</f>
        <v>Первый рабочий день 2026 г.</v>
      </c>
      <c r="G357" s="68">
        <f>VLOOKUP(I357,'Трансп. каталог'!$F$3:$I$743,3,0)</f>
        <v>0</v>
      </c>
      <c r="H357" s="27" t="s">
        <v>440</v>
      </c>
      <c r="I357" s="29" t="str">
        <f t="shared" si="6"/>
        <v>061200812122025</v>
      </c>
      <c r="J357" s="44" t="s">
        <v>442</v>
      </c>
      <c r="K357" s="44" t="s">
        <v>617</v>
      </c>
      <c r="L357" s="44" t="s">
        <v>507</v>
      </c>
      <c r="M357" s="164" t="s">
        <v>1401</v>
      </c>
      <c r="N357" s="164" t="s">
        <v>1401</v>
      </c>
      <c r="O357" s="164" t="s">
        <v>1401</v>
      </c>
      <c r="P357" s="26" t="s">
        <v>386</v>
      </c>
      <c r="Q357" s="26"/>
      <c r="R357" s="72" t="s">
        <v>1404</v>
      </c>
    </row>
    <row r="358" spans="1:18" hidden="1" x14ac:dyDescent="0.2">
      <c r="A358" s="15" t="s">
        <v>70</v>
      </c>
      <c r="B358" s="16" t="s">
        <v>12</v>
      </c>
      <c r="C358" s="16" t="s">
        <v>3</v>
      </c>
      <c r="D358" s="14" t="s">
        <v>71</v>
      </c>
      <c r="E358" s="14" t="s">
        <v>395</v>
      </c>
      <c r="F358" s="14" t="str">
        <f>VLOOKUP(I358,'Трансп. каталог'!$F$3:$I$743,2,0)</f>
        <v>не позднее 29.01.2025</v>
      </c>
      <c r="G358" s="64">
        <f>VLOOKUP(I358,'Трансп. каталог'!$F$3:$I$743,3,0)</f>
        <v>0</v>
      </c>
      <c r="H358" s="15" t="s">
        <v>396</v>
      </c>
      <c r="I358" s="17" t="str">
        <f t="shared" si="6"/>
        <v>061201012012025</v>
      </c>
      <c r="J358" s="92" t="s">
        <v>509</v>
      </c>
      <c r="K358" s="92" t="s">
        <v>508</v>
      </c>
      <c r="L358" s="92" t="s">
        <v>497</v>
      </c>
      <c r="M358" s="96" t="s">
        <v>508</v>
      </c>
      <c r="N358" s="113" t="s">
        <v>1401</v>
      </c>
      <c r="O358" s="113" t="s">
        <v>1401</v>
      </c>
      <c r="P358" s="14" t="s">
        <v>69</v>
      </c>
      <c r="Q358" s="14" t="s">
        <v>16</v>
      </c>
      <c r="R358" s="75" t="s">
        <v>1405</v>
      </c>
    </row>
    <row r="359" spans="1:18" hidden="1" x14ac:dyDescent="0.2">
      <c r="A359" s="15" t="s">
        <v>70</v>
      </c>
      <c r="B359" s="16" t="s">
        <v>12</v>
      </c>
      <c r="C359" s="16" t="s">
        <v>3</v>
      </c>
      <c r="D359" s="14" t="s">
        <v>71</v>
      </c>
      <c r="E359" s="14" t="s">
        <v>399</v>
      </c>
      <c r="F359" s="14" t="str">
        <f>VLOOKUP(I359,'Трансп. каталог'!$F$3:$I$743,2,0)</f>
        <v>не позднее 27.02.2025</v>
      </c>
      <c r="G359" s="64">
        <f>VLOOKUP(I359,'Трансп. каталог'!$F$3:$I$743,3,0)</f>
        <v>0</v>
      </c>
      <c r="H359" s="15" t="s">
        <v>400</v>
      </c>
      <c r="I359" s="17" t="str">
        <f t="shared" si="6"/>
        <v>061201012022025</v>
      </c>
      <c r="J359" s="108" t="s">
        <v>670</v>
      </c>
      <c r="K359" s="108" t="s">
        <v>401</v>
      </c>
      <c r="L359" s="108" t="s">
        <v>498</v>
      </c>
      <c r="M359" s="106" t="s">
        <v>401</v>
      </c>
      <c r="N359" s="113" t="s">
        <v>1401</v>
      </c>
      <c r="O359" s="113" t="s">
        <v>1401</v>
      </c>
      <c r="P359" s="14" t="s">
        <v>69</v>
      </c>
      <c r="Q359" s="14" t="s">
        <v>16</v>
      </c>
      <c r="R359" s="75" t="s">
        <v>1405</v>
      </c>
    </row>
    <row r="360" spans="1:18" hidden="1" x14ac:dyDescent="0.2">
      <c r="A360" s="15" t="s">
        <v>70</v>
      </c>
      <c r="B360" s="16" t="s">
        <v>12</v>
      </c>
      <c r="C360" s="16" t="s">
        <v>3</v>
      </c>
      <c r="D360" s="14" t="s">
        <v>71</v>
      </c>
      <c r="E360" s="14" t="s">
        <v>403</v>
      </c>
      <c r="F360" s="14" t="str">
        <f>VLOOKUP(I360,'Трансп. каталог'!$F$3:$I$743,2,0)</f>
        <v>не позднее 28.03.2025</v>
      </c>
      <c r="G360" s="64">
        <f>VLOOKUP(I360,'Трансп. каталог'!$F$3:$I$743,3,0)</f>
        <v>0</v>
      </c>
      <c r="H360" s="15" t="s">
        <v>404</v>
      </c>
      <c r="I360" s="17" t="str">
        <f t="shared" si="6"/>
        <v>061201012032025</v>
      </c>
      <c r="J360" s="92" t="s">
        <v>393</v>
      </c>
      <c r="K360" s="92" t="s">
        <v>405</v>
      </c>
      <c r="L360" s="92" t="s">
        <v>499</v>
      </c>
      <c r="M360" s="106" t="s">
        <v>405</v>
      </c>
      <c r="N360" s="113" t="s">
        <v>1401</v>
      </c>
      <c r="O360" s="113" t="s">
        <v>1401</v>
      </c>
      <c r="P360" s="14" t="s">
        <v>69</v>
      </c>
      <c r="Q360" s="14" t="s">
        <v>16</v>
      </c>
      <c r="R360" s="75" t="s">
        <v>1405</v>
      </c>
    </row>
    <row r="361" spans="1:18" hidden="1" x14ac:dyDescent="0.2">
      <c r="A361" s="18" t="s">
        <v>70</v>
      </c>
      <c r="B361" s="3" t="s">
        <v>12</v>
      </c>
      <c r="C361" s="3" t="s">
        <v>3</v>
      </c>
      <c r="D361" s="2" t="s">
        <v>71</v>
      </c>
      <c r="E361" s="2" t="s">
        <v>407</v>
      </c>
      <c r="F361" s="2" t="str">
        <f>VLOOKUP(I361,'Трансп. каталог'!$F$3:$I$743,2,0)</f>
        <v>не позднее 29.04.2025</v>
      </c>
      <c r="G361" s="65">
        <f>VLOOKUP(I361,'Трансп. каталог'!$F$3:$I$743,3,0)</f>
        <v>0</v>
      </c>
      <c r="H361" s="18" t="s">
        <v>408</v>
      </c>
      <c r="I361" s="19" t="str">
        <f t="shared" si="6"/>
        <v>061201012042025</v>
      </c>
      <c r="J361" s="93" t="s">
        <v>603</v>
      </c>
      <c r="K361" s="93" t="s">
        <v>409</v>
      </c>
      <c r="L361" s="93" t="s">
        <v>500</v>
      </c>
      <c r="M361" s="106" t="s">
        <v>409</v>
      </c>
      <c r="N361" s="156" t="s">
        <v>1401</v>
      </c>
      <c r="O361" s="156" t="s">
        <v>1401</v>
      </c>
      <c r="P361" s="2" t="s">
        <v>69</v>
      </c>
      <c r="Q361" s="2" t="s">
        <v>16</v>
      </c>
      <c r="R361" s="75" t="s">
        <v>1405</v>
      </c>
    </row>
    <row r="362" spans="1:18" hidden="1" x14ac:dyDescent="0.2">
      <c r="A362" s="21" t="s">
        <v>70</v>
      </c>
      <c r="B362" s="22" t="s">
        <v>12</v>
      </c>
      <c r="C362" s="22" t="s">
        <v>3</v>
      </c>
      <c r="D362" s="20" t="s">
        <v>71</v>
      </c>
      <c r="E362" s="20" t="s">
        <v>411</v>
      </c>
      <c r="F362" s="20" t="str">
        <f>VLOOKUP(I362,'Трансп. каталог'!$F$3:$I$743,2,0)</f>
        <v>не позднее 29.05.2025</v>
      </c>
      <c r="G362" s="66">
        <f>VLOOKUP(I362,'Трансп. каталог'!$F$3:$I$743,3,0)</f>
        <v>0</v>
      </c>
      <c r="H362" s="21" t="s">
        <v>412</v>
      </c>
      <c r="I362" s="23" t="str">
        <f t="shared" si="6"/>
        <v>061201012052025</v>
      </c>
      <c r="J362" s="94" t="s">
        <v>624</v>
      </c>
      <c r="K362" s="94" t="s">
        <v>413</v>
      </c>
      <c r="L362" s="94" t="s">
        <v>445</v>
      </c>
      <c r="M362" s="106" t="s">
        <v>413</v>
      </c>
      <c r="N362" s="156" t="s">
        <v>1401</v>
      </c>
      <c r="O362" s="156" t="s">
        <v>1401</v>
      </c>
      <c r="P362" s="20" t="s">
        <v>69</v>
      </c>
      <c r="Q362" s="20" t="s">
        <v>16</v>
      </c>
      <c r="R362" s="75" t="s">
        <v>1405</v>
      </c>
    </row>
    <row r="363" spans="1:18" hidden="1" x14ac:dyDescent="0.2">
      <c r="A363" s="27" t="s">
        <v>70</v>
      </c>
      <c r="B363" s="28" t="s">
        <v>12</v>
      </c>
      <c r="C363" s="28" t="s">
        <v>3</v>
      </c>
      <c r="D363" s="26" t="s">
        <v>71</v>
      </c>
      <c r="E363" s="26" t="s">
        <v>415</v>
      </c>
      <c r="F363" s="26" t="str">
        <f>VLOOKUP(I363,'Трансп. каталог'!$F$3:$I$743,2,0)</f>
        <v>не позднее 27.06.2025</v>
      </c>
      <c r="G363" s="68">
        <f>VLOOKUP(I363,'Трансп. каталог'!$F$3:$I$743,3,0)</f>
        <v>0</v>
      </c>
      <c r="H363" s="27" t="s">
        <v>416</v>
      </c>
      <c r="I363" s="29" t="str">
        <f t="shared" si="6"/>
        <v>061201012062025</v>
      </c>
      <c r="J363" s="141" t="s">
        <v>483</v>
      </c>
      <c r="K363" s="141" t="s">
        <v>417</v>
      </c>
      <c r="L363" s="141" t="s">
        <v>501</v>
      </c>
      <c r="M363" s="85" t="s">
        <v>417</v>
      </c>
      <c r="N363" s="156" t="s">
        <v>1401</v>
      </c>
      <c r="O363" s="156" t="s">
        <v>1401</v>
      </c>
      <c r="P363" s="26" t="s">
        <v>69</v>
      </c>
      <c r="Q363" s="26" t="s">
        <v>16</v>
      </c>
      <c r="R363" s="75" t="s">
        <v>1405</v>
      </c>
    </row>
    <row r="364" spans="1:18" hidden="1" x14ac:dyDescent="0.2">
      <c r="A364" s="15" t="s">
        <v>70</v>
      </c>
      <c r="B364" s="16" t="s">
        <v>12</v>
      </c>
      <c r="C364" s="16" t="s">
        <v>3</v>
      </c>
      <c r="D364" s="14" t="s">
        <v>71</v>
      </c>
      <c r="E364" s="14" t="s">
        <v>419</v>
      </c>
      <c r="F364" s="14" t="str">
        <f>VLOOKUP(I364,'Трансп. каталог'!$F$3:$I$743,2,0)</f>
        <v>не позднее 30.07.2025</v>
      </c>
      <c r="G364" s="64">
        <f>VLOOKUP(I364,'Трансп. каталог'!$F$3:$I$743,3,0)</f>
        <v>0</v>
      </c>
      <c r="H364" s="15" t="s">
        <v>420</v>
      </c>
      <c r="I364" s="17" t="str">
        <f t="shared" si="6"/>
        <v>061201012072025</v>
      </c>
      <c r="J364" s="92" t="s">
        <v>627</v>
      </c>
      <c r="K364" s="92" t="s">
        <v>421</v>
      </c>
      <c r="L364" s="92" t="s">
        <v>502</v>
      </c>
      <c r="M364" s="82" t="s">
        <v>421</v>
      </c>
      <c r="N364" s="156" t="s">
        <v>1401</v>
      </c>
      <c r="O364" s="156" t="s">
        <v>1401</v>
      </c>
      <c r="P364" s="14" t="s">
        <v>69</v>
      </c>
      <c r="Q364" s="14" t="s">
        <v>16</v>
      </c>
      <c r="R364" s="75" t="s">
        <v>1405</v>
      </c>
    </row>
    <row r="365" spans="1:18" hidden="1" x14ac:dyDescent="0.2">
      <c r="A365" s="15" t="s">
        <v>70</v>
      </c>
      <c r="B365" s="16" t="s">
        <v>12</v>
      </c>
      <c r="C365" s="16" t="s">
        <v>3</v>
      </c>
      <c r="D365" s="14" t="s">
        <v>71</v>
      </c>
      <c r="E365" s="14" t="s">
        <v>423</v>
      </c>
      <c r="F365" s="14" t="str">
        <f>VLOOKUP(I365,'Трансп. каталог'!$F$3:$I$743,2,0)</f>
        <v>не позднее 28.08.2025</v>
      </c>
      <c r="G365" s="64">
        <f>VLOOKUP(I365,'Трансп. каталог'!$F$3:$I$743,3,0)</f>
        <v>0</v>
      </c>
      <c r="H365" s="15" t="s">
        <v>424</v>
      </c>
      <c r="I365" s="17" t="str">
        <f t="shared" si="6"/>
        <v>061201012082025</v>
      </c>
      <c r="J365" s="40" t="s">
        <v>607</v>
      </c>
      <c r="K365" s="40" t="s">
        <v>425</v>
      </c>
      <c r="L365" s="40" t="s">
        <v>503</v>
      </c>
      <c r="M365" s="82" t="s">
        <v>425</v>
      </c>
      <c r="N365" s="156" t="s">
        <v>1401</v>
      </c>
      <c r="O365" s="156" t="s">
        <v>1401</v>
      </c>
      <c r="P365" s="14" t="s">
        <v>69</v>
      </c>
      <c r="Q365" s="14" t="s">
        <v>16</v>
      </c>
      <c r="R365" s="75" t="s">
        <v>1405</v>
      </c>
    </row>
    <row r="366" spans="1:18" hidden="1" x14ac:dyDescent="0.2">
      <c r="A366" s="18" t="s">
        <v>70</v>
      </c>
      <c r="B366" s="3" t="s">
        <v>12</v>
      </c>
      <c r="C366" s="3" t="s">
        <v>3</v>
      </c>
      <c r="D366" s="2" t="s">
        <v>71</v>
      </c>
      <c r="E366" s="2" t="s">
        <v>427</v>
      </c>
      <c r="F366" s="2" t="str">
        <f>VLOOKUP(I366,'Трансп. каталог'!$F$3:$I$743,2,0)</f>
        <v>не позднее 29.09.2025</v>
      </c>
      <c r="G366" s="65">
        <f>VLOOKUP(I366,'Трансп. каталог'!$F$3:$I$743,3,0)</f>
        <v>0</v>
      </c>
      <c r="H366" s="18" t="s">
        <v>428</v>
      </c>
      <c r="I366" s="19" t="str">
        <f t="shared" si="6"/>
        <v>061201012092025</v>
      </c>
      <c r="J366" s="41" t="s">
        <v>485</v>
      </c>
      <c r="K366" s="41" t="s">
        <v>429</v>
      </c>
      <c r="L366" s="41" t="s">
        <v>504</v>
      </c>
      <c r="M366" s="83" t="s">
        <v>429</v>
      </c>
      <c r="N366" s="156" t="s">
        <v>1401</v>
      </c>
      <c r="O366" s="156" t="s">
        <v>1401</v>
      </c>
      <c r="P366" s="2" t="s">
        <v>69</v>
      </c>
      <c r="Q366" s="2" t="s">
        <v>16</v>
      </c>
      <c r="R366" s="75" t="s">
        <v>1405</v>
      </c>
    </row>
    <row r="367" spans="1:18" hidden="1" x14ac:dyDescent="0.2">
      <c r="A367" s="21" t="s">
        <v>70</v>
      </c>
      <c r="B367" s="22" t="s">
        <v>12</v>
      </c>
      <c r="C367" s="22" t="s">
        <v>3</v>
      </c>
      <c r="D367" s="20" t="s">
        <v>71</v>
      </c>
      <c r="E367" s="20" t="s">
        <v>431</v>
      </c>
      <c r="F367" s="20" t="str">
        <f>VLOOKUP(I367,'Трансп. каталог'!$F$3:$I$743,2,0)</f>
        <v>не позднее 30.10.2025</v>
      </c>
      <c r="G367" s="66">
        <f>VLOOKUP(I367,'Трансп. каталог'!$F$3:$I$743,3,0)</f>
        <v>0</v>
      </c>
      <c r="H367" s="21" t="s">
        <v>432</v>
      </c>
      <c r="I367" s="23" t="str">
        <f t="shared" si="6"/>
        <v>061201012102025</v>
      </c>
      <c r="J367" s="42" t="s">
        <v>602</v>
      </c>
      <c r="K367" s="42" t="s">
        <v>433</v>
      </c>
      <c r="L367" s="42" t="s">
        <v>505</v>
      </c>
      <c r="M367" s="84" t="s">
        <v>433</v>
      </c>
      <c r="N367" s="156" t="s">
        <v>1401</v>
      </c>
      <c r="O367" s="156" t="s">
        <v>1401</v>
      </c>
      <c r="P367" s="20" t="s">
        <v>69</v>
      </c>
      <c r="Q367" s="20" t="s">
        <v>16</v>
      </c>
      <c r="R367" s="75" t="s">
        <v>1405</v>
      </c>
    </row>
    <row r="368" spans="1:18" hidden="1" x14ac:dyDescent="0.2">
      <c r="A368" s="24" t="s">
        <v>70</v>
      </c>
      <c r="B368" s="5" t="s">
        <v>12</v>
      </c>
      <c r="C368" s="5" t="s">
        <v>3</v>
      </c>
      <c r="D368" s="4" t="s">
        <v>71</v>
      </c>
      <c r="E368" s="4" t="s">
        <v>435</v>
      </c>
      <c r="F368" s="4" t="str">
        <f>VLOOKUP(I368,'Трансп. каталог'!$F$3:$I$743,2,0)</f>
        <v>не позднее 27.11.2025</v>
      </c>
      <c r="G368" s="67">
        <f>VLOOKUP(I368,'Трансп. каталог'!$F$3:$I$743,3,0)</f>
        <v>0</v>
      </c>
      <c r="H368" s="24" t="s">
        <v>436</v>
      </c>
      <c r="I368" s="25" t="str">
        <f t="shared" si="6"/>
        <v>061201012112025</v>
      </c>
      <c r="J368" s="43" t="s">
        <v>608</v>
      </c>
      <c r="K368" s="43" t="s">
        <v>437</v>
      </c>
      <c r="L368" s="43" t="s">
        <v>506</v>
      </c>
      <c r="M368" s="85" t="s">
        <v>437</v>
      </c>
      <c r="N368" s="156" t="s">
        <v>1401</v>
      </c>
      <c r="O368" s="156" t="s">
        <v>1401</v>
      </c>
      <c r="P368" s="4" t="s">
        <v>69</v>
      </c>
      <c r="Q368" s="4" t="s">
        <v>16</v>
      </c>
      <c r="R368" s="75" t="s">
        <v>1405</v>
      </c>
    </row>
    <row r="369" spans="1:18" hidden="1" x14ac:dyDescent="0.2">
      <c r="A369" s="24" t="s">
        <v>70</v>
      </c>
      <c r="B369" s="5" t="s">
        <v>12</v>
      </c>
      <c r="C369" s="5" t="s">
        <v>3</v>
      </c>
      <c r="D369" s="4" t="s">
        <v>71</v>
      </c>
      <c r="E369" s="4" t="s">
        <v>439</v>
      </c>
      <c r="F369" s="4" t="str">
        <f>VLOOKUP(I369,'Трансп. каталог'!$F$3:$I$743,2,0)</f>
        <v>не позднее 26.12.2025</v>
      </c>
      <c r="G369" s="67">
        <f>VLOOKUP(I369,'Трансп. каталог'!$F$3:$I$743,3,0)</f>
        <v>0</v>
      </c>
      <c r="H369" s="24" t="s">
        <v>440</v>
      </c>
      <c r="I369" s="25" t="str">
        <f t="shared" si="6"/>
        <v>061201012122025</v>
      </c>
      <c r="J369" s="43" t="s">
        <v>1379</v>
      </c>
      <c r="K369" s="43" t="s">
        <v>458</v>
      </c>
      <c r="L369" s="43" t="s">
        <v>507</v>
      </c>
      <c r="M369" s="85" t="s">
        <v>458</v>
      </c>
      <c r="N369" s="156" t="s">
        <v>1401</v>
      </c>
      <c r="O369" s="156" t="s">
        <v>1401</v>
      </c>
      <c r="P369" s="4" t="s">
        <v>69</v>
      </c>
      <c r="Q369" s="4" t="s">
        <v>16</v>
      </c>
      <c r="R369" s="75" t="s">
        <v>1405</v>
      </c>
    </row>
    <row r="370" spans="1:18" hidden="1" x14ac:dyDescent="0.2">
      <c r="A370" s="24" t="s">
        <v>126</v>
      </c>
      <c r="B370" s="5" t="s">
        <v>2</v>
      </c>
      <c r="C370" s="5" t="s">
        <v>30</v>
      </c>
      <c r="D370" s="4" t="s">
        <v>127</v>
      </c>
      <c r="E370" s="4">
        <v>2024</v>
      </c>
      <c r="F370" s="4" t="str">
        <f>VLOOKUP(I370,'Трансп. каталог'!$F$3:$I$743,2,0)</f>
        <v>не позднее 28.12.2024</v>
      </c>
      <c r="G370" s="67" t="str">
        <f>VLOOKUP(I370,'Трансп. каталог'!$F$3:$I$743,3,0)</f>
        <v xml:space="preserve">с 15 февраля по 2 марта
после отчетного периода
</v>
      </c>
      <c r="H370" s="24" t="s">
        <v>392</v>
      </c>
      <c r="I370" s="25" t="str">
        <f t="shared" si="6"/>
        <v>061300101012024</v>
      </c>
      <c r="J370" s="110" t="s">
        <v>1378</v>
      </c>
      <c r="K370" s="110" t="s">
        <v>585</v>
      </c>
      <c r="L370" s="110" t="s">
        <v>634</v>
      </c>
      <c r="M370" s="104" t="s">
        <v>585</v>
      </c>
      <c r="N370" s="105" t="s">
        <v>471</v>
      </c>
      <c r="O370" s="105" t="s">
        <v>401</v>
      </c>
      <c r="P370" s="4" t="s">
        <v>109</v>
      </c>
      <c r="Q370" s="4" t="s">
        <v>10</v>
      </c>
      <c r="R370" s="71" t="s">
        <v>1403</v>
      </c>
    </row>
    <row r="371" spans="1:18" hidden="1" x14ac:dyDescent="0.2">
      <c r="A371" s="24" t="s">
        <v>161</v>
      </c>
      <c r="B371" s="5" t="s">
        <v>2</v>
      </c>
      <c r="C371" s="5" t="s">
        <v>30</v>
      </c>
      <c r="D371" s="4" t="s">
        <v>162</v>
      </c>
      <c r="E371" s="4" t="s">
        <v>395</v>
      </c>
      <c r="F371" s="4" t="str">
        <f>VLOOKUP(I371,'Трансп. каталог'!$F$3:$I$743,2,0)</f>
        <v>не позднее 27.01.2025</v>
      </c>
      <c r="G371" s="67">
        <f>VLOOKUP(I371,'Трансп. каталог'!$F$3:$I$743,3,0)</f>
        <v>0</v>
      </c>
      <c r="H371" s="24" t="s">
        <v>396</v>
      </c>
      <c r="I371" s="25" t="str">
        <f t="shared" si="6"/>
        <v>061304312012025</v>
      </c>
      <c r="J371" s="110" t="s">
        <v>460</v>
      </c>
      <c r="K371" s="110" t="s">
        <v>397</v>
      </c>
      <c r="L371" s="110" t="s">
        <v>658</v>
      </c>
      <c r="M371" s="104" t="s">
        <v>397</v>
      </c>
      <c r="N371" s="105" t="s">
        <v>509</v>
      </c>
      <c r="O371" s="105" t="s">
        <v>397</v>
      </c>
      <c r="P371" s="4" t="s">
        <v>163</v>
      </c>
      <c r="Q371" s="4" t="s">
        <v>78</v>
      </c>
      <c r="R371" s="71">
        <f>VLOOKUP(I371,'Трансп. каталог'!$F$3:$I$743,4,0)</f>
        <v>0</v>
      </c>
    </row>
    <row r="372" spans="1:18" hidden="1" x14ac:dyDescent="0.2">
      <c r="A372" s="24" t="s">
        <v>161</v>
      </c>
      <c r="B372" s="5" t="s">
        <v>2</v>
      </c>
      <c r="C372" s="5" t="s">
        <v>30</v>
      </c>
      <c r="D372" s="4" t="s">
        <v>162</v>
      </c>
      <c r="E372" s="4" t="s">
        <v>399</v>
      </c>
      <c r="F372" s="4" t="str">
        <f>VLOOKUP(I372,'Трансп. каталог'!$F$3:$I$743,2,0)</f>
        <v>не позднее 24.02.2025</v>
      </c>
      <c r="G372" s="67">
        <f>VLOOKUP(I372,'Трансп. каталог'!$F$3:$I$743,3,0)</f>
        <v>0</v>
      </c>
      <c r="H372" s="24" t="s">
        <v>400</v>
      </c>
      <c r="I372" s="25" t="str">
        <f t="shared" si="6"/>
        <v>061304312022025</v>
      </c>
      <c r="J372" s="110" t="s">
        <v>465</v>
      </c>
      <c r="K372" s="110" t="s">
        <v>401</v>
      </c>
      <c r="L372" s="110" t="s">
        <v>659</v>
      </c>
      <c r="M372" s="104" t="s">
        <v>401</v>
      </c>
      <c r="N372" s="105" t="s">
        <v>471</v>
      </c>
      <c r="O372" s="105" t="s">
        <v>401</v>
      </c>
      <c r="P372" s="4" t="s">
        <v>163</v>
      </c>
      <c r="Q372" s="4" t="s">
        <v>78</v>
      </c>
      <c r="R372" s="71">
        <f>VLOOKUP(I372,'Трансп. каталог'!$F$3:$I$743,4,0)</f>
        <v>0</v>
      </c>
    </row>
    <row r="373" spans="1:18" hidden="1" x14ac:dyDescent="0.2">
      <c r="A373" s="24" t="s">
        <v>161</v>
      </c>
      <c r="B373" s="5" t="s">
        <v>2</v>
      </c>
      <c r="C373" s="5" t="s">
        <v>30</v>
      </c>
      <c r="D373" s="4" t="s">
        <v>162</v>
      </c>
      <c r="E373" s="4" t="s">
        <v>403</v>
      </c>
      <c r="F373" s="4" t="str">
        <f>VLOOKUP(I373,'Трансп. каталог'!$F$3:$I$743,2,0)</f>
        <v>не позднее 28.03.2025</v>
      </c>
      <c r="G373" s="67">
        <f>VLOOKUP(I373,'Трансп. каталог'!$F$3:$I$743,3,0)</f>
        <v>0</v>
      </c>
      <c r="H373" s="24" t="s">
        <v>404</v>
      </c>
      <c r="I373" s="25" t="str">
        <f t="shared" si="6"/>
        <v>061304312032025</v>
      </c>
      <c r="J373" s="110" t="s">
        <v>643</v>
      </c>
      <c r="K373" s="110" t="s">
        <v>546</v>
      </c>
      <c r="L373" s="110" t="s">
        <v>660</v>
      </c>
      <c r="M373" s="104" t="s">
        <v>546</v>
      </c>
      <c r="N373" s="105" t="s">
        <v>406</v>
      </c>
      <c r="O373" s="105" t="s">
        <v>570</v>
      </c>
      <c r="P373" s="4" t="s">
        <v>163</v>
      </c>
      <c r="Q373" s="4" t="s">
        <v>78</v>
      </c>
      <c r="R373" s="71">
        <f>VLOOKUP(I373,'Трансп. каталог'!$F$3:$I$743,4,0)</f>
        <v>0</v>
      </c>
    </row>
    <row r="374" spans="1:18" hidden="1" x14ac:dyDescent="0.2">
      <c r="A374" s="24" t="s">
        <v>161</v>
      </c>
      <c r="B374" s="5" t="s">
        <v>2</v>
      </c>
      <c r="C374" s="5" t="s">
        <v>30</v>
      </c>
      <c r="D374" s="4" t="s">
        <v>162</v>
      </c>
      <c r="E374" s="4" t="s">
        <v>407</v>
      </c>
      <c r="F374" s="4" t="str">
        <f>VLOOKUP(I374,'Трансп. каталог'!$F$3:$I$743,2,0)</f>
        <v>не позднее 29.04.2025</v>
      </c>
      <c r="G374" s="67">
        <f>VLOOKUP(I374,'Трансп. каталог'!$F$3:$I$743,3,0)</f>
        <v>0</v>
      </c>
      <c r="H374" s="24" t="s">
        <v>408</v>
      </c>
      <c r="I374" s="25" t="str">
        <f t="shared" si="6"/>
        <v>061304312042025</v>
      </c>
      <c r="J374" s="110" t="s">
        <v>603</v>
      </c>
      <c r="K374" s="110" t="s">
        <v>409</v>
      </c>
      <c r="L374" s="110" t="s">
        <v>661</v>
      </c>
      <c r="M374" s="104" t="s">
        <v>409</v>
      </c>
      <c r="N374" s="105" t="s">
        <v>409</v>
      </c>
      <c r="O374" s="105" t="s">
        <v>409</v>
      </c>
      <c r="P374" s="4" t="s">
        <v>163</v>
      </c>
      <c r="Q374" s="4" t="s">
        <v>78</v>
      </c>
      <c r="R374" s="71">
        <f>VLOOKUP(I374,'Трансп. каталог'!$F$3:$I$743,4,0)</f>
        <v>0</v>
      </c>
    </row>
    <row r="375" spans="1:18" hidden="1" x14ac:dyDescent="0.2">
      <c r="A375" s="24" t="s">
        <v>161</v>
      </c>
      <c r="B375" s="5" t="s">
        <v>2</v>
      </c>
      <c r="C375" s="5" t="s">
        <v>30</v>
      </c>
      <c r="D375" s="4" t="s">
        <v>162</v>
      </c>
      <c r="E375" s="4" t="s">
        <v>411</v>
      </c>
      <c r="F375" s="4" t="str">
        <f>VLOOKUP(I375,'Трансп. каталог'!$F$3:$I$743,2,0)</f>
        <v>не позднее 28.05.2025</v>
      </c>
      <c r="G375" s="67">
        <f>VLOOKUP(I375,'Трансп. каталог'!$F$3:$I$743,3,0)</f>
        <v>0</v>
      </c>
      <c r="H375" s="24" t="s">
        <v>412</v>
      </c>
      <c r="I375" s="25" t="str">
        <f t="shared" si="6"/>
        <v>061304312052025</v>
      </c>
      <c r="J375" s="110" t="s">
        <v>1377</v>
      </c>
      <c r="K375" s="110" t="s">
        <v>413</v>
      </c>
      <c r="L375" s="110" t="s">
        <v>625</v>
      </c>
      <c r="M375" s="104" t="s">
        <v>413</v>
      </c>
      <c r="N375" s="105" t="s">
        <v>624</v>
      </c>
      <c r="O375" s="105" t="s">
        <v>712</v>
      </c>
      <c r="P375" s="4" t="s">
        <v>163</v>
      </c>
      <c r="Q375" s="4" t="s">
        <v>78</v>
      </c>
      <c r="R375" s="71">
        <f>VLOOKUP(I375,'Трансп. каталог'!$F$3:$I$743,4,0)</f>
        <v>0</v>
      </c>
    </row>
    <row r="376" spans="1:18" hidden="1" x14ac:dyDescent="0.2">
      <c r="A376" s="27" t="s">
        <v>161</v>
      </c>
      <c r="B376" s="28" t="s">
        <v>2</v>
      </c>
      <c r="C376" s="28" t="s">
        <v>30</v>
      </c>
      <c r="D376" s="26" t="s">
        <v>162</v>
      </c>
      <c r="E376" s="26" t="s">
        <v>415</v>
      </c>
      <c r="F376" s="26" t="str">
        <f>VLOOKUP(I376,'Трансп. каталог'!$F$3:$I$743,2,0)</f>
        <v>не позднее 30.06.2025</v>
      </c>
      <c r="G376" s="68">
        <f>VLOOKUP(I376,'Трансп. каталог'!$F$3:$I$743,3,0)</f>
        <v>0</v>
      </c>
      <c r="H376" s="27" t="s">
        <v>416</v>
      </c>
      <c r="I376" s="29" t="str">
        <f t="shared" si="6"/>
        <v>061304312062025</v>
      </c>
      <c r="J376" s="141" t="s">
        <v>644</v>
      </c>
      <c r="K376" s="141" t="s">
        <v>417</v>
      </c>
      <c r="L376" s="141" t="s">
        <v>626</v>
      </c>
      <c r="M376" s="104" t="s">
        <v>417</v>
      </c>
      <c r="N376" s="105" t="s">
        <v>418</v>
      </c>
      <c r="O376" s="105" t="s">
        <v>572</v>
      </c>
      <c r="P376" s="26" t="s">
        <v>163</v>
      </c>
      <c r="Q376" s="26" t="s">
        <v>78</v>
      </c>
      <c r="R376" s="72">
        <f>VLOOKUP(I376,'Трансп. каталог'!$F$3:$I$743,4,0)</f>
        <v>0</v>
      </c>
    </row>
    <row r="377" spans="1:18" hidden="1" x14ac:dyDescent="0.2">
      <c r="A377" s="18" t="s">
        <v>161</v>
      </c>
      <c r="B377" s="3" t="s">
        <v>2</v>
      </c>
      <c r="C377" s="3" t="s">
        <v>30</v>
      </c>
      <c r="D377" s="2" t="s">
        <v>162</v>
      </c>
      <c r="E377" s="2" t="s">
        <v>419</v>
      </c>
      <c r="F377" s="2" t="str">
        <f>VLOOKUP(I377,'Трансп. каталог'!$F$3:$I$743,2,0)</f>
        <v>не позднее 30.07.2025</v>
      </c>
      <c r="G377" s="65">
        <f>VLOOKUP(I377,'Трансп. каталог'!$F$3:$I$743,3,0)</f>
        <v>0</v>
      </c>
      <c r="H377" s="18" t="s">
        <v>420</v>
      </c>
      <c r="I377" s="19" t="str">
        <f t="shared" si="6"/>
        <v>061304312072025</v>
      </c>
      <c r="J377" s="93" t="s">
        <v>612</v>
      </c>
      <c r="K377" s="93" t="s">
        <v>421</v>
      </c>
      <c r="L377" s="93" t="s">
        <v>628</v>
      </c>
      <c r="M377" s="83" t="s">
        <v>421</v>
      </c>
      <c r="N377" s="88" t="s">
        <v>552</v>
      </c>
      <c r="O377" s="88" t="s">
        <v>627</v>
      </c>
      <c r="P377" s="2" t="s">
        <v>163</v>
      </c>
      <c r="Q377" s="2" t="s">
        <v>78</v>
      </c>
      <c r="R377" s="74">
        <f>VLOOKUP(I377,'Трансп. каталог'!$F$3:$I$743,4,0)</f>
        <v>0</v>
      </c>
    </row>
    <row r="378" spans="1:18" hidden="1" x14ac:dyDescent="0.2">
      <c r="A378" s="21" t="s">
        <v>161</v>
      </c>
      <c r="B378" s="22" t="s">
        <v>2</v>
      </c>
      <c r="C378" s="22" t="s">
        <v>30</v>
      </c>
      <c r="D378" s="2" t="s">
        <v>162</v>
      </c>
      <c r="E378" s="20" t="s">
        <v>423</v>
      </c>
      <c r="F378" s="20" t="str">
        <f>VLOOKUP(I378,'Трансп. каталог'!$F$3:$I$743,2,0)</f>
        <v>не позднее 29.08.2025</v>
      </c>
      <c r="G378" s="66">
        <f>VLOOKUP(I378,'Трансп. каталог'!$F$3:$I$743,3,0)</f>
        <v>0</v>
      </c>
      <c r="H378" s="21" t="s">
        <v>424</v>
      </c>
      <c r="I378" s="23" t="str">
        <f t="shared" si="6"/>
        <v>061304312082025</v>
      </c>
      <c r="J378" s="42" t="s">
        <v>598</v>
      </c>
      <c r="K378" s="42" t="s">
        <v>425</v>
      </c>
      <c r="L378" s="42" t="s">
        <v>629</v>
      </c>
      <c r="M378" s="84" t="s">
        <v>425</v>
      </c>
      <c r="N378" s="89" t="s">
        <v>426</v>
      </c>
      <c r="O378" s="89" t="s">
        <v>1383</v>
      </c>
      <c r="P378" s="20" t="s">
        <v>163</v>
      </c>
      <c r="Q378" s="20" t="s">
        <v>78</v>
      </c>
      <c r="R378" s="74">
        <f>VLOOKUP(I378,'Трансп. каталог'!$F$3:$I$743,4,0)</f>
        <v>0</v>
      </c>
    </row>
    <row r="379" spans="1:18" hidden="1" x14ac:dyDescent="0.2">
      <c r="A379" s="27" t="s">
        <v>161</v>
      </c>
      <c r="B379" s="28" t="s">
        <v>2</v>
      </c>
      <c r="C379" s="28" t="s">
        <v>30</v>
      </c>
      <c r="D379" s="2" t="s">
        <v>162</v>
      </c>
      <c r="E379" s="26" t="s">
        <v>427</v>
      </c>
      <c r="F379" s="26" t="str">
        <f>VLOOKUP(I379,'Трансп. каталог'!$F$3:$I$743,2,0)</f>
        <v>не позднее 30.09.2025</v>
      </c>
      <c r="G379" s="68">
        <f>VLOOKUP(I379,'Трансп. каталог'!$F$3:$I$743,3,0)</f>
        <v>0</v>
      </c>
      <c r="H379" s="27" t="s">
        <v>428</v>
      </c>
      <c r="I379" s="29" t="str">
        <f t="shared" si="6"/>
        <v>061304312092025</v>
      </c>
      <c r="J379" s="44" t="s">
        <v>638</v>
      </c>
      <c r="K379" s="44" t="s">
        <v>429</v>
      </c>
      <c r="L379" s="44" t="s">
        <v>662</v>
      </c>
      <c r="M379" s="86" t="s">
        <v>429</v>
      </c>
      <c r="N379" s="91" t="s">
        <v>485</v>
      </c>
      <c r="O379" s="91" t="s">
        <v>715</v>
      </c>
      <c r="P379" s="26" t="s">
        <v>163</v>
      </c>
      <c r="Q379" s="26" t="s">
        <v>78</v>
      </c>
      <c r="R379" s="74">
        <f>VLOOKUP(I379,'Трансп. каталог'!$F$3:$I$743,4,0)</f>
        <v>0</v>
      </c>
    </row>
    <row r="380" spans="1:18" hidden="1" x14ac:dyDescent="0.2">
      <c r="A380" s="15" t="s">
        <v>161</v>
      </c>
      <c r="B380" s="16" t="s">
        <v>2</v>
      </c>
      <c r="C380" s="16" t="s">
        <v>30</v>
      </c>
      <c r="D380" s="14" t="s">
        <v>162</v>
      </c>
      <c r="E380" s="14" t="s">
        <v>431</v>
      </c>
      <c r="F380" s="14" t="str">
        <f>VLOOKUP(I380,'Трансп. каталог'!$F$3:$I$743,2,0)</f>
        <v>не позднее 29.10.2025</v>
      </c>
      <c r="G380" s="64">
        <f>VLOOKUP(I380,'Трансп. каталог'!$F$3:$I$743,3,0)</f>
        <v>0</v>
      </c>
      <c r="H380" s="15" t="s">
        <v>432</v>
      </c>
      <c r="I380" s="17" t="str">
        <f t="shared" si="6"/>
        <v>061304312102025</v>
      </c>
      <c r="J380" s="40" t="s">
        <v>434</v>
      </c>
      <c r="K380" s="40" t="s">
        <v>433</v>
      </c>
      <c r="L380" s="40" t="s">
        <v>663</v>
      </c>
      <c r="M380" s="82" t="s">
        <v>433</v>
      </c>
      <c r="N380" s="87" t="s">
        <v>556</v>
      </c>
      <c r="O380" s="87" t="s">
        <v>602</v>
      </c>
      <c r="P380" s="14" t="s">
        <v>163</v>
      </c>
      <c r="Q380" s="14" t="s">
        <v>78</v>
      </c>
      <c r="R380" s="73">
        <f>VLOOKUP(I380,'Трансп. каталог'!$F$3:$I$743,4,0)</f>
        <v>0</v>
      </c>
    </row>
    <row r="381" spans="1:18" hidden="1" x14ac:dyDescent="0.2">
      <c r="A381" s="15" t="s">
        <v>161</v>
      </c>
      <c r="B381" s="16" t="s">
        <v>2</v>
      </c>
      <c r="C381" s="16" t="s">
        <v>30</v>
      </c>
      <c r="D381" s="14" t="s">
        <v>162</v>
      </c>
      <c r="E381" s="14" t="s">
        <v>435</v>
      </c>
      <c r="F381" s="14" t="str">
        <f>VLOOKUP(I381,'Трансп. каталог'!$F$3:$I$743,2,0)</f>
        <v>не позднее 28.11.2025</v>
      </c>
      <c r="G381" s="64">
        <f>VLOOKUP(I381,'Трансп. каталог'!$F$3:$I$743,3,0)</f>
        <v>0</v>
      </c>
      <c r="H381" s="15" t="s">
        <v>436</v>
      </c>
      <c r="I381" s="17" t="str">
        <f t="shared" si="6"/>
        <v>061304312112025</v>
      </c>
      <c r="J381" s="40" t="s">
        <v>599</v>
      </c>
      <c r="K381" s="40" t="s">
        <v>437</v>
      </c>
      <c r="L381" s="40" t="s">
        <v>664</v>
      </c>
      <c r="M381" s="82" t="s">
        <v>437</v>
      </c>
      <c r="N381" s="87" t="s">
        <v>438</v>
      </c>
      <c r="O381" s="87" t="s">
        <v>1382</v>
      </c>
      <c r="P381" s="14" t="s">
        <v>163</v>
      </c>
      <c r="Q381" s="14" t="s">
        <v>78</v>
      </c>
      <c r="R381" s="73">
        <f>VLOOKUP(I381,'Трансп. каталог'!$F$3:$I$743,4,0)</f>
        <v>0</v>
      </c>
    </row>
    <row r="382" spans="1:18" hidden="1" x14ac:dyDescent="0.2">
      <c r="A382" s="15" t="s">
        <v>161</v>
      </c>
      <c r="B382" s="16" t="s">
        <v>2</v>
      </c>
      <c r="C382" s="16" t="s">
        <v>30</v>
      </c>
      <c r="D382" s="14" t="s">
        <v>162</v>
      </c>
      <c r="E382" s="14" t="s">
        <v>439</v>
      </c>
      <c r="F382" s="14" t="str">
        <f>VLOOKUP(I382,'Трансп. каталог'!$F$3:$I$743,2,0)</f>
        <v>не позднее 30.12.2025</v>
      </c>
      <c r="G382" s="64">
        <f>VLOOKUP(I382,'Трансп. каталог'!$F$3:$I$743,3,0)</f>
        <v>0</v>
      </c>
      <c r="H382" s="15" t="s">
        <v>440</v>
      </c>
      <c r="I382" s="17" t="str">
        <f t="shared" si="6"/>
        <v>061304312122025</v>
      </c>
      <c r="J382" s="40" t="s">
        <v>640</v>
      </c>
      <c r="K382" s="40" t="s">
        <v>481</v>
      </c>
      <c r="L382" s="40" t="s">
        <v>665</v>
      </c>
      <c r="M382" s="82" t="s">
        <v>481</v>
      </c>
      <c r="N382" s="87" t="s">
        <v>1398</v>
      </c>
      <c r="O382" s="87" t="s">
        <v>1396</v>
      </c>
      <c r="P382" s="14" t="s">
        <v>163</v>
      </c>
      <c r="Q382" s="14" t="s">
        <v>78</v>
      </c>
      <c r="R382" s="73">
        <f>VLOOKUP(I382,'Трансп. каталог'!$F$3:$I$743,4,0)</f>
        <v>0</v>
      </c>
    </row>
    <row r="383" spans="1:18" hidden="1" x14ac:dyDescent="0.2">
      <c r="A383" s="18" t="s">
        <v>113</v>
      </c>
      <c r="B383" s="3" t="s">
        <v>2</v>
      </c>
      <c r="C383" s="3" t="s">
        <v>30</v>
      </c>
      <c r="D383" s="2" t="s">
        <v>114</v>
      </c>
      <c r="E383" s="2" t="s">
        <v>446</v>
      </c>
      <c r="F383" s="2" t="str">
        <f>VLOOKUP(I383,'Трансп. каталог'!$F$3:$I$743,2,0)</f>
        <v xml:space="preserve">
не позднее 29.01.2025</v>
      </c>
      <c r="G383" s="65">
        <f>VLOOKUP(I383,'Трансп. каталог'!$F$3:$I$743,3,0)</f>
        <v>0</v>
      </c>
      <c r="H383" s="18" t="s">
        <v>447</v>
      </c>
      <c r="I383" s="19" t="str">
        <f t="shared" si="6"/>
        <v>061400104012025</v>
      </c>
      <c r="J383" s="93" t="s">
        <v>585</v>
      </c>
      <c r="K383" s="93" t="s">
        <v>460</v>
      </c>
      <c r="L383" s="93" t="s">
        <v>611</v>
      </c>
      <c r="M383" s="99" t="s">
        <v>460</v>
      </c>
      <c r="N383" s="95" t="s">
        <v>520</v>
      </c>
      <c r="O383" s="95" t="s">
        <v>510</v>
      </c>
      <c r="P383" s="2" t="s">
        <v>115</v>
      </c>
      <c r="Q383" s="2" t="s">
        <v>10</v>
      </c>
      <c r="R383" s="74">
        <f>VLOOKUP(I383,'Трансп. каталог'!$F$3:$I$743,4,0)</f>
        <v>0</v>
      </c>
    </row>
    <row r="384" spans="1:18" hidden="1" x14ac:dyDescent="0.2">
      <c r="A384" s="21" t="s">
        <v>113</v>
      </c>
      <c r="B384" s="22" t="s">
        <v>2</v>
      </c>
      <c r="C384" s="22" t="s">
        <v>30</v>
      </c>
      <c r="D384" s="20" t="s">
        <v>114</v>
      </c>
      <c r="E384" s="20" t="s">
        <v>449</v>
      </c>
      <c r="F384" s="20" t="str">
        <f>VLOOKUP(I384,'Трансп. каталог'!$F$3:$I$743,2,0)</f>
        <v xml:space="preserve">
не позднее 29.04.2025</v>
      </c>
      <c r="G384" s="66">
        <f>VLOOKUP(I384,'Трансп. каталог'!$F$3:$I$743,3,0)</f>
        <v>0</v>
      </c>
      <c r="H384" s="21" t="s">
        <v>450</v>
      </c>
      <c r="I384" s="23" t="str">
        <f t="shared" si="6"/>
        <v>061400104022025</v>
      </c>
      <c r="J384" s="93" t="s">
        <v>500</v>
      </c>
      <c r="K384" s="93" t="s">
        <v>603</v>
      </c>
      <c r="L384" s="93" t="s">
        <v>530</v>
      </c>
      <c r="M384" s="99" t="s">
        <v>603</v>
      </c>
      <c r="N384" s="95" t="s">
        <v>549</v>
      </c>
      <c r="O384" s="95" t="s">
        <v>661</v>
      </c>
      <c r="P384" s="20" t="s">
        <v>115</v>
      </c>
      <c r="Q384" s="20" t="s">
        <v>10</v>
      </c>
      <c r="R384" s="75">
        <f>VLOOKUP(I384,'Трансп. каталог'!$F$3:$I$743,4,0)</f>
        <v>0</v>
      </c>
    </row>
    <row r="385" spans="1:18" hidden="1" x14ac:dyDescent="0.2">
      <c r="A385" s="24" t="s">
        <v>113</v>
      </c>
      <c r="B385" s="5" t="s">
        <v>2</v>
      </c>
      <c r="C385" s="5" t="s">
        <v>30</v>
      </c>
      <c r="D385" s="4" t="s">
        <v>114</v>
      </c>
      <c r="E385" s="4" t="s">
        <v>452</v>
      </c>
      <c r="F385" s="4" t="str">
        <f>VLOOKUP(I385,'Трансп. каталог'!$F$3:$I$743,2,0)</f>
        <v xml:space="preserve">
не позднее 29.07.2025</v>
      </c>
      <c r="G385" s="67">
        <f>VLOOKUP(I385,'Трансп. каталог'!$F$3:$I$743,3,0)</f>
        <v>0</v>
      </c>
      <c r="H385" s="24" t="s">
        <v>453</v>
      </c>
      <c r="I385" s="25" t="str">
        <f t="shared" si="6"/>
        <v>061400104032025</v>
      </c>
      <c r="J385" s="43" t="s">
        <v>514</v>
      </c>
      <c r="K385" s="43" t="s">
        <v>612</v>
      </c>
      <c r="L385" s="43" t="s">
        <v>490</v>
      </c>
      <c r="M385" s="85" t="s">
        <v>612</v>
      </c>
      <c r="N385" s="90" t="s">
        <v>553</v>
      </c>
      <c r="O385" s="90" t="s">
        <v>580</v>
      </c>
      <c r="P385" s="4" t="s">
        <v>115</v>
      </c>
      <c r="Q385" s="4" t="s">
        <v>10</v>
      </c>
      <c r="R385" s="71">
        <f>VLOOKUP(I385,'Трансп. каталог'!$F$3:$I$743,4,0)</f>
        <v>0</v>
      </c>
    </row>
    <row r="386" spans="1:18" hidden="1" x14ac:dyDescent="0.2">
      <c r="A386" s="24" t="s">
        <v>113</v>
      </c>
      <c r="B386" s="5" t="s">
        <v>2</v>
      </c>
      <c r="C386" s="5" t="s">
        <v>30</v>
      </c>
      <c r="D386" s="4" t="s">
        <v>114</v>
      </c>
      <c r="E386" s="4" t="s">
        <v>456</v>
      </c>
      <c r="F386" s="4" t="str">
        <f>VLOOKUP(I386,'Трансп. каталог'!$F$3:$I$743,2,0)</f>
        <v xml:space="preserve">
не позднее 29.10.2025</v>
      </c>
      <c r="G386" s="67">
        <f>VLOOKUP(I386,'Трансп. каталог'!$F$3:$I$743,3,0)</f>
        <v>0</v>
      </c>
      <c r="H386" s="24" t="s">
        <v>457</v>
      </c>
      <c r="I386" s="25" t="str">
        <f t="shared" si="6"/>
        <v>061400104042025</v>
      </c>
      <c r="J386" s="43" t="s">
        <v>668</v>
      </c>
      <c r="K386" s="43" t="s">
        <v>434</v>
      </c>
      <c r="L386" s="43" t="s">
        <v>613</v>
      </c>
      <c r="M386" s="85" t="s">
        <v>434</v>
      </c>
      <c r="N386" s="90" t="s">
        <v>505</v>
      </c>
      <c r="O386" s="90" t="s">
        <v>518</v>
      </c>
      <c r="P386" s="4" t="s">
        <v>115</v>
      </c>
      <c r="Q386" s="4" t="s">
        <v>10</v>
      </c>
      <c r="R386" s="71">
        <f>VLOOKUP(I386,'Трансп. каталог'!$F$3:$I$743,4,0)</f>
        <v>0</v>
      </c>
    </row>
    <row r="387" spans="1:18" hidden="1" x14ac:dyDescent="0.2">
      <c r="A387" s="24" t="s">
        <v>121</v>
      </c>
      <c r="B387" s="5" t="s">
        <v>2</v>
      </c>
      <c r="C387" s="5" t="s">
        <v>30</v>
      </c>
      <c r="D387" s="4" t="s">
        <v>122</v>
      </c>
      <c r="E387" s="4">
        <v>2024</v>
      </c>
      <c r="F387" s="4" t="str">
        <f>VLOOKUP(I387,'Трансп. каталог'!$F$3:$I$743,2,0)</f>
        <v>не позднее 28.12.2024</v>
      </c>
      <c r="G387" s="67" t="str">
        <f>VLOOKUP(I387,'Трансп. каталог'!$F$3:$I$743,3,0)</f>
        <v>с 7 по 17 февраля после отчетного периода</v>
      </c>
      <c r="H387" s="24" t="s">
        <v>392</v>
      </c>
      <c r="I387" s="25" t="str">
        <f t="shared" si="6"/>
        <v>061400401012024</v>
      </c>
      <c r="J387" s="110" t="s">
        <v>585</v>
      </c>
      <c r="K387" s="110" t="s">
        <v>508</v>
      </c>
      <c r="L387" s="110" t="s">
        <v>605</v>
      </c>
      <c r="M387" s="104" t="s">
        <v>508</v>
      </c>
      <c r="N387" s="105" t="s">
        <v>520</v>
      </c>
      <c r="O387" s="105" t="s">
        <v>510</v>
      </c>
      <c r="P387" s="4" t="s">
        <v>123</v>
      </c>
      <c r="Q387" s="4" t="s">
        <v>10</v>
      </c>
      <c r="R387" s="71">
        <f>VLOOKUP(I387,'Трансп. каталог'!$F$3:$I$743,4,0)</f>
        <v>0</v>
      </c>
    </row>
    <row r="388" spans="1:18" hidden="1" x14ac:dyDescent="0.2">
      <c r="A388" s="24" t="s">
        <v>232</v>
      </c>
      <c r="B388" s="5" t="s">
        <v>12</v>
      </c>
      <c r="C388" s="5" t="s">
        <v>3</v>
      </c>
      <c r="D388" s="4" t="s">
        <v>233</v>
      </c>
      <c r="E388" s="4" t="s">
        <v>395</v>
      </c>
      <c r="F388" s="4" t="str">
        <f>VLOOKUP(I388,'Трансп. каталог'!$F$3:$I$743,2,0)</f>
        <v>не позднее 29.01.2025</v>
      </c>
      <c r="G388" s="67">
        <f>VLOOKUP(I388,'Трансп. каталог'!$F$3:$I$743,3,0)</f>
        <v>0</v>
      </c>
      <c r="H388" s="24" t="s">
        <v>396</v>
      </c>
      <c r="I388" s="25" t="str">
        <f t="shared" si="6"/>
        <v>061400812012025</v>
      </c>
      <c r="J388" s="110" t="s">
        <v>510</v>
      </c>
      <c r="K388" s="110" t="s">
        <v>509</v>
      </c>
      <c r="L388" s="110" t="s">
        <v>585</v>
      </c>
      <c r="M388" s="104" t="s">
        <v>509</v>
      </c>
      <c r="N388" s="105" t="s">
        <v>497</v>
      </c>
      <c r="O388" s="105" t="s">
        <v>463</v>
      </c>
      <c r="P388" s="4" t="s">
        <v>188</v>
      </c>
      <c r="Q388" s="4" t="s">
        <v>33</v>
      </c>
      <c r="R388" s="71" t="s">
        <v>1402</v>
      </c>
    </row>
    <row r="389" spans="1:18" hidden="1" x14ac:dyDescent="0.2">
      <c r="A389" s="24" t="s">
        <v>232</v>
      </c>
      <c r="B389" s="5" t="s">
        <v>12</v>
      </c>
      <c r="C389" s="5" t="s">
        <v>3</v>
      </c>
      <c r="D389" s="4" t="s">
        <v>233</v>
      </c>
      <c r="E389" s="4" t="s">
        <v>399</v>
      </c>
      <c r="F389" s="4" t="e">
        <f>VLOOKUP(I389,'Трансп. каталог'!$F$3:$I$743,2,0)</f>
        <v>#N/A</v>
      </c>
      <c r="G389" s="67" t="e">
        <f>VLOOKUP(I389,'Трансп. каталог'!$F$3:$I$743,3,0)</f>
        <v>#N/A</v>
      </c>
      <c r="H389" s="24" t="s">
        <v>400</v>
      </c>
      <c r="I389" s="25" t="str">
        <f t="shared" si="6"/>
        <v>061400812022025</v>
      </c>
      <c r="J389" s="110" t="s">
        <v>495</v>
      </c>
      <c r="K389" s="110" t="s">
        <v>670</v>
      </c>
      <c r="L389" s="110" t="s">
        <v>468</v>
      </c>
      <c r="M389" s="104" t="s">
        <v>670</v>
      </c>
      <c r="N389" s="105" t="s">
        <v>498</v>
      </c>
      <c r="O389" s="105" t="s">
        <v>605</v>
      </c>
      <c r="P389" s="4" t="s">
        <v>188</v>
      </c>
      <c r="Q389" s="4" t="s">
        <v>33</v>
      </c>
      <c r="R389" s="71" t="s">
        <v>1402</v>
      </c>
    </row>
    <row r="390" spans="1:18" hidden="1" x14ac:dyDescent="0.2">
      <c r="A390" s="24" t="s">
        <v>232</v>
      </c>
      <c r="B390" s="5" t="s">
        <v>12</v>
      </c>
      <c r="C390" s="5" t="s">
        <v>3</v>
      </c>
      <c r="D390" s="4" t="s">
        <v>233</v>
      </c>
      <c r="E390" s="4" t="s">
        <v>403</v>
      </c>
      <c r="F390" s="4" t="e">
        <f>VLOOKUP(I390,'Трансп. каталог'!$F$3:$I$743,2,0)</f>
        <v>#N/A</v>
      </c>
      <c r="G390" s="67" t="e">
        <f>VLOOKUP(I390,'Трансп. каталог'!$F$3:$I$743,3,0)</f>
        <v>#N/A</v>
      </c>
      <c r="H390" s="24" t="s">
        <v>404</v>
      </c>
      <c r="I390" s="25" t="str">
        <f t="shared" si="6"/>
        <v>061400812032025</v>
      </c>
      <c r="J390" s="110" t="s">
        <v>461</v>
      </c>
      <c r="K390" s="110" t="s">
        <v>393</v>
      </c>
      <c r="L390" s="110" t="s">
        <v>671</v>
      </c>
      <c r="M390" s="104" t="s">
        <v>393</v>
      </c>
      <c r="N390" s="105" t="s">
        <v>499</v>
      </c>
      <c r="O390" s="105" t="s">
        <v>547</v>
      </c>
      <c r="P390" s="4" t="s">
        <v>188</v>
      </c>
      <c r="Q390" s="4" t="s">
        <v>33</v>
      </c>
      <c r="R390" s="71" t="s">
        <v>1402</v>
      </c>
    </row>
    <row r="391" spans="1:18" hidden="1" x14ac:dyDescent="0.2">
      <c r="A391" s="24" t="s">
        <v>232</v>
      </c>
      <c r="B391" s="5" t="s">
        <v>12</v>
      </c>
      <c r="C391" s="5" t="s">
        <v>3</v>
      </c>
      <c r="D391" s="4" t="s">
        <v>233</v>
      </c>
      <c r="E391" s="4" t="s">
        <v>407</v>
      </c>
      <c r="F391" s="4" t="e">
        <f>VLOOKUP(I391,'Трансп. каталог'!$F$3:$I$743,2,0)</f>
        <v>#N/A</v>
      </c>
      <c r="G391" s="67" t="e">
        <f>VLOOKUP(I391,'Трансп. каталог'!$F$3:$I$743,3,0)</f>
        <v>#N/A</v>
      </c>
      <c r="H391" s="24" t="s">
        <v>408</v>
      </c>
      <c r="I391" s="25" t="str">
        <f t="shared" si="6"/>
        <v>061400812042025</v>
      </c>
      <c r="J391" s="110" t="s">
        <v>667</v>
      </c>
      <c r="K391" s="110" t="s">
        <v>603</v>
      </c>
      <c r="L391" s="110" t="s">
        <v>698</v>
      </c>
      <c r="M391" s="104" t="s">
        <v>603</v>
      </c>
      <c r="N391" s="105" t="s">
        <v>661</v>
      </c>
      <c r="O391" s="105" t="s">
        <v>529</v>
      </c>
      <c r="P391" s="4" t="s">
        <v>188</v>
      </c>
      <c r="Q391" s="4" t="s">
        <v>33</v>
      </c>
      <c r="R391" s="71" t="s">
        <v>1402</v>
      </c>
    </row>
    <row r="392" spans="1:18" hidden="1" x14ac:dyDescent="0.2">
      <c r="A392" s="24" t="s">
        <v>232</v>
      </c>
      <c r="B392" s="5" t="s">
        <v>12</v>
      </c>
      <c r="C392" s="5" t="s">
        <v>3</v>
      </c>
      <c r="D392" s="4" t="s">
        <v>233</v>
      </c>
      <c r="E392" s="4" t="s">
        <v>411</v>
      </c>
      <c r="F392" s="4" t="e">
        <f>VLOOKUP(I392,'Трансп. каталог'!$F$3:$I$743,2,0)</f>
        <v>#N/A</v>
      </c>
      <c r="G392" s="67" t="e">
        <f>VLOOKUP(I392,'Трансп. каталог'!$F$3:$I$743,3,0)</f>
        <v>#N/A</v>
      </c>
      <c r="H392" s="24" t="s">
        <v>412</v>
      </c>
      <c r="I392" s="25" t="str">
        <f t="shared" si="6"/>
        <v>061400812052025</v>
      </c>
      <c r="J392" s="110" t="s">
        <v>565</v>
      </c>
      <c r="K392" s="110" t="s">
        <v>624</v>
      </c>
      <c r="L392" s="110" t="s">
        <v>531</v>
      </c>
      <c r="M392" s="104" t="s">
        <v>624</v>
      </c>
      <c r="N392" s="105" t="s">
        <v>625</v>
      </c>
      <c r="O392" s="105" t="s">
        <v>550</v>
      </c>
      <c r="P392" s="4" t="s">
        <v>188</v>
      </c>
      <c r="Q392" s="4" t="s">
        <v>33</v>
      </c>
      <c r="R392" s="71" t="s">
        <v>1402</v>
      </c>
    </row>
    <row r="393" spans="1:18" hidden="1" x14ac:dyDescent="0.2">
      <c r="A393" s="24" t="s">
        <v>232</v>
      </c>
      <c r="B393" s="5" t="s">
        <v>12</v>
      </c>
      <c r="C393" s="5" t="s">
        <v>3</v>
      </c>
      <c r="D393" s="4" t="s">
        <v>233</v>
      </c>
      <c r="E393" s="4" t="s">
        <v>415</v>
      </c>
      <c r="F393" s="4" t="e">
        <f>VLOOKUP(I393,'Трансп. каталог'!$F$3:$I$743,2,0)</f>
        <v>#N/A</v>
      </c>
      <c r="G393" s="67" t="e">
        <f>VLOOKUP(I393,'Трансп. каталог'!$F$3:$I$743,3,0)</f>
        <v>#N/A</v>
      </c>
      <c r="H393" s="24" t="s">
        <v>416</v>
      </c>
      <c r="I393" s="25" t="str">
        <f t="shared" si="6"/>
        <v>061400812062025</v>
      </c>
      <c r="J393" s="110" t="s">
        <v>615</v>
      </c>
      <c r="K393" s="110" t="s">
        <v>483</v>
      </c>
      <c r="L393" s="110" t="s">
        <v>513</v>
      </c>
      <c r="M393" s="104" t="s">
        <v>483</v>
      </c>
      <c r="N393" s="105" t="s">
        <v>501</v>
      </c>
      <c r="O393" s="105" t="s">
        <v>551</v>
      </c>
      <c r="P393" s="4" t="s">
        <v>188</v>
      </c>
      <c r="Q393" s="4" t="s">
        <v>33</v>
      </c>
      <c r="R393" s="71" t="s">
        <v>1402</v>
      </c>
    </row>
    <row r="394" spans="1:18" hidden="1" x14ac:dyDescent="0.2">
      <c r="A394" s="27" t="s">
        <v>232</v>
      </c>
      <c r="B394" s="28" t="s">
        <v>12</v>
      </c>
      <c r="C394" s="28" t="s">
        <v>3</v>
      </c>
      <c r="D394" s="26" t="s">
        <v>233</v>
      </c>
      <c r="E394" s="26" t="s">
        <v>419</v>
      </c>
      <c r="F394" s="26" t="e">
        <f>VLOOKUP(I394,'Трансп. каталог'!$F$3:$I$743,2,0)</f>
        <v>#N/A</v>
      </c>
      <c r="G394" s="68" t="e">
        <f>VLOOKUP(I394,'Трансп. каталог'!$F$3:$I$743,3,0)</f>
        <v>#N/A</v>
      </c>
      <c r="H394" s="27" t="s">
        <v>420</v>
      </c>
      <c r="I394" s="29" t="str">
        <f t="shared" si="6"/>
        <v>061400812072025</v>
      </c>
      <c r="J394" s="44" t="s">
        <v>580</v>
      </c>
      <c r="K394" s="44" t="s">
        <v>627</v>
      </c>
      <c r="L394" s="44" t="s">
        <v>514</v>
      </c>
      <c r="M394" s="106" t="s">
        <v>627</v>
      </c>
      <c r="N394" s="107" t="s">
        <v>502</v>
      </c>
      <c r="O394" s="107" t="s">
        <v>606</v>
      </c>
      <c r="P394" s="26" t="s">
        <v>188</v>
      </c>
      <c r="Q394" s="26" t="s">
        <v>33</v>
      </c>
      <c r="R394" s="72" t="s">
        <v>1402</v>
      </c>
    </row>
    <row r="395" spans="1:18" hidden="1" x14ac:dyDescent="0.2">
      <c r="A395" s="18" t="s">
        <v>232</v>
      </c>
      <c r="B395" s="3" t="s">
        <v>12</v>
      </c>
      <c r="C395" s="3" t="s">
        <v>3</v>
      </c>
      <c r="D395" s="2" t="s">
        <v>233</v>
      </c>
      <c r="E395" s="2" t="s">
        <v>423</v>
      </c>
      <c r="F395" s="2" t="e">
        <f>VLOOKUP(I395,'Трансп. каталог'!$F$3:$I$743,2,0)</f>
        <v>#N/A</v>
      </c>
      <c r="G395" s="65" t="e">
        <f>VLOOKUP(I395,'Трансп. каталог'!$F$3:$I$743,3,0)</f>
        <v>#N/A</v>
      </c>
      <c r="H395" s="18" t="s">
        <v>424</v>
      </c>
      <c r="I395" s="19" t="str">
        <f t="shared" si="6"/>
        <v>061400812082025</v>
      </c>
      <c r="J395" s="41" t="s">
        <v>554</v>
      </c>
      <c r="K395" s="41" t="s">
        <v>607</v>
      </c>
      <c r="L395" s="41" t="s">
        <v>515</v>
      </c>
      <c r="M395" s="99" t="s">
        <v>607</v>
      </c>
      <c r="N395" s="95" t="s">
        <v>503</v>
      </c>
      <c r="O395" s="95" t="s">
        <v>560</v>
      </c>
      <c r="P395" s="2" t="s">
        <v>188</v>
      </c>
      <c r="Q395" s="2" t="s">
        <v>33</v>
      </c>
      <c r="R395" s="74" t="s">
        <v>1402</v>
      </c>
    </row>
    <row r="396" spans="1:18" hidden="1" x14ac:dyDescent="0.2">
      <c r="A396" s="21" t="s">
        <v>232</v>
      </c>
      <c r="B396" s="22" t="s">
        <v>12</v>
      </c>
      <c r="C396" s="22" t="s">
        <v>3</v>
      </c>
      <c r="D396" s="20" t="s">
        <v>233</v>
      </c>
      <c r="E396" s="20" t="s">
        <v>427</v>
      </c>
      <c r="F396" s="20" t="e">
        <f>VLOOKUP(I396,'Трансп. каталог'!$F$3:$I$743,2,0)</f>
        <v>#N/A</v>
      </c>
      <c r="G396" s="66" t="e">
        <f>VLOOKUP(I396,'Трансп. каталог'!$F$3:$I$743,3,0)</f>
        <v>#N/A</v>
      </c>
      <c r="H396" s="21" t="s">
        <v>428</v>
      </c>
      <c r="I396" s="23" t="str">
        <f t="shared" si="6"/>
        <v>061400812092025</v>
      </c>
      <c r="J396" s="42" t="s">
        <v>616</v>
      </c>
      <c r="K396" s="42" t="s">
        <v>485</v>
      </c>
      <c r="L396" s="42" t="s">
        <v>516</v>
      </c>
      <c r="M396" s="102" t="s">
        <v>485</v>
      </c>
      <c r="N396" s="103" t="s">
        <v>630</v>
      </c>
      <c r="O396" s="103" t="s">
        <v>1368</v>
      </c>
      <c r="P396" s="20" t="s">
        <v>188</v>
      </c>
      <c r="Q396" s="20" t="s">
        <v>33</v>
      </c>
      <c r="R396" s="75" t="s">
        <v>1402</v>
      </c>
    </row>
    <row r="397" spans="1:18" hidden="1" x14ac:dyDescent="0.2">
      <c r="A397" s="24" t="s">
        <v>232</v>
      </c>
      <c r="B397" s="5" t="s">
        <v>12</v>
      </c>
      <c r="C397" s="5" t="s">
        <v>3</v>
      </c>
      <c r="D397" s="4" t="s">
        <v>233</v>
      </c>
      <c r="E397" s="4" t="s">
        <v>431</v>
      </c>
      <c r="F397" s="4" t="e">
        <f>VLOOKUP(I397,'Трансп. каталог'!$F$3:$I$743,2,0)</f>
        <v>#N/A</v>
      </c>
      <c r="G397" s="67" t="e">
        <f>VLOOKUP(I397,'Трансп. каталог'!$F$3:$I$743,3,0)</f>
        <v>#N/A</v>
      </c>
      <c r="H397" s="24" t="s">
        <v>432</v>
      </c>
      <c r="I397" s="25" t="str">
        <f t="shared" si="6"/>
        <v>061400812102025</v>
      </c>
      <c r="J397" s="43" t="s">
        <v>668</v>
      </c>
      <c r="K397" s="43" t="s">
        <v>434</v>
      </c>
      <c r="L397" s="43" t="s">
        <v>540</v>
      </c>
      <c r="M397" s="104" t="s">
        <v>434</v>
      </c>
      <c r="N397" s="105" t="s">
        <v>505</v>
      </c>
      <c r="O397" s="105" t="s">
        <v>518</v>
      </c>
      <c r="P397" s="4" t="s">
        <v>188</v>
      </c>
      <c r="Q397" s="4" t="s">
        <v>33</v>
      </c>
      <c r="R397" s="71" t="s">
        <v>1402</v>
      </c>
    </row>
    <row r="398" spans="1:18" hidden="1" x14ac:dyDescent="0.2">
      <c r="A398" s="27" t="s">
        <v>232</v>
      </c>
      <c r="B398" s="28" t="s">
        <v>12</v>
      </c>
      <c r="C398" s="28" t="s">
        <v>3</v>
      </c>
      <c r="D398" s="26" t="s">
        <v>233</v>
      </c>
      <c r="E398" s="26" t="s">
        <v>435</v>
      </c>
      <c r="F398" s="26" t="e">
        <f>VLOOKUP(I398,'Трансп. каталог'!$F$3:$I$743,2,0)</f>
        <v>#N/A</v>
      </c>
      <c r="G398" s="68" t="e">
        <f>VLOOKUP(I398,'Трансп. каталог'!$F$3:$I$743,3,0)</f>
        <v>#N/A</v>
      </c>
      <c r="H398" s="27" t="s">
        <v>436</v>
      </c>
      <c r="I398" s="29" t="str">
        <f t="shared" si="6"/>
        <v>061400812112025</v>
      </c>
      <c r="J398" s="44" t="s">
        <v>557</v>
      </c>
      <c r="K398" s="44" t="s">
        <v>608</v>
      </c>
      <c r="L398" s="44" t="s">
        <v>519</v>
      </c>
      <c r="M398" s="106" t="s">
        <v>608</v>
      </c>
      <c r="N398" s="107" t="s">
        <v>506</v>
      </c>
      <c r="O398" s="107" t="s">
        <v>563</v>
      </c>
      <c r="P398" s="26" t="s">
        <v>188</v>
      </c>
      <c r="Q398" s="26" t="s">
        <v>33</v>
      </c>
      <c r="R398" s="72" t="s">
        <v>1402</v>
      </c>
    </row>
    <row r="399" spans="1:18" hidden="1" x14ac:dyDescent="0.2">
      <c r="A399" s="18" t="s">
        <v>232</v>
      </c>
      <c r="B399" s="3" t="s">
        <v>12</v>
      </c>
      <c r="C399" s="3" t="s">
        <v>3</v>
      </c>
      <c r="D399" s="2" t="s">
        <v>233</v>
      </c>
      <c r="E399" s="2" t="s">
        <v>439</v>
      </c>
      <c r="F399" s="2" t="e">
        <f>VLOOKUP(I399,'Трансп. каталог'!$F$3:$I$743,2,0)</f>
        <v>#N/A</v>
      </c>
      <c r="G399" s="65" t="e">
        <f>VLOOKUP(I399,'Трансп. каталог'!$F$3:$I$743,3,0)</f>
        <v>#N/A</v>
      </c>
      <c r="H399" s="18" t="s">
        <v>440</v>
      </c>
      <c r="I399" s="19" t="str">
        <f t="shared" si="6"/>
        <v>061400812122025</v>
      </c>
      <c r="J399" s="41" t="s">
        <v>618</v>
      </c>
      <c r="K399" s="41" t="s">
        <v>442</v>
      </c>
      <c r="L399" s="41" t="s">
        <v>657</v>
      </c>
      <c r="M399" s="99" t="s">
        <v>442</v>
      </c>
      <c r="N399" s="95" t="s">
        <v>665</v>
      </c>
      <c r="O399" s="95" t="s">
        <v>609</v>
      </c>
      <c r="P399" s="2" t="s">
        <v>188</v>
      </c>
      <c r="Q399" s="2" t="s">
        <v>33</v>
      </c>
      <c r="R399" s="74" t="s">
        <v>1402</v>
      </c>
    </row>
    <row r="400" spans="1:18" hidden="1" x14ac:dyDescent="0.2">
      <c r="A400" s="21" t="s">
        <v>147</v>
      </c>
      <c r="B400" s="22" t="s">
        <v>12</v>
      </c>
      <c r="C400" s="22" t="s">
        <v>3</v>
      </c>
      <c r="D400" s="2" t="s">
        <v>148</v>
      </c>
      <c r="E400" s="20" t="s">
        <v>446</v>
      </c>
      <c r="F400" s="20" t="str">
        <f>VLOOKUP(I400,'Трансп. каталог'!$F$3:$I$743,2,0)</f>
        <v>не позднее  21.02.2025</v>
      </c>
      <c r="G400" s="66">
        <f>VLOOKUP(I400,'Трансп. каталог'!$F$3:$I$743,3,0)</f>
        <v>0</v>
      </c>
      <c r="H400" s="21" t="s">
        <v>447</v>
      </c>
      <c r="I400" s="23" t="str">
        <f t="shared" si="6"/>
        <v>061400904012025</v>
      </c>
      <c r="J400" s="94" t="s">
        <v>511</v>
      </c>
      <c r="K400" s="94" t="s">
        <v>643</v>
      </c>
      <c r="L400" s="94" t="s">
        <v>637</v>
      </c>
      <c r="M400" s="137">
        <v>45754</v>
      </c>
      <c r="N400" s="103" t="s">
        <v>499</v>
      </c>
      <c r="O400" s="103" t="s">
        <v>547</v>
      </c>
      <c r="P400" s="20" t="s">
        <v>149</v>
      </c>
      <c r="Q400" s="20" t="s">
        <v>10</v>
      </c>
      <c r="R400" s="74" t="s">
        <v>1402</v>
      </c>
    </row>
    <row r="401" spans="1:18" hidden="1" x14ac:dyDescent="0.2">
      <c r="A401" s="24" t="s">
        <v>147</v>
      </c>
      <c r="B401" s="5" t="s">
        <v>12</v>
      </c>
      <c r="C401" s="5" t="s">
        <v>3</v>
      </c>
      <c r="D401" s="2" t="s">
        <v>148</v>
      </c>
      <c r="E401" s="4" t="s">
        <v>449</v>
      </c>
      <c r="F401" s="4" t="e">
        <f>VLOOKUP(I401,'Трансп. каталог'!$F$3:$I$743,2,0)</f>
        <v>#N/A</v>
      </c>
      <c r="G401" s="67" t="e">
        <f>VLOOKUP(I401,'Трансп. каталог'!$F$3:$I$743,3,0)</f>
        <v>#N/A</v>
      </c>
      <c r="H401" s="24" t="s">
        <v>450</v>
      </c>
      <c r="I401" s="25" t="str">
        <f t="shared" si="6"/>
        <v>061400904022025</v>
      </c>
      <c r="J401" s="110" t="s">
        <v>513</v>
      </c>
      <c r="K401" s="110" t="s">
        <v>644</v>
      </c>
      <c r="L401" s="110" t="s">
        <v>596</v>
      </c>
      <c r="M401" s="85" t="s">
        <v>644</v>
      </c>
      <c r="N401" s="90" t="s">
        <v>501</v>
      </c>
      <c r="O401" s="90" t="s">
        <v>551</v>
      </c>
      <c r="P401" s="4" t="s">
        <v>149</v>
      </c>
      <c r="Q401" s="4" t="s">
        <v>10</v>
      </c>
      <c r="R401" s="74" t="s">
        <v>1402</v>
      </c>
    </row>
    <row r="402" spans="1:18" hidden="1" x14ac:dyDescent="0.2">
      <c r="A402" s="24" t="s">
        <v>147</v>
      </c>
      <c r="B402" s="5" t="s">
        <v>12</v>
      </c>
      <c r="C402" s="5" t="s">
        <v>3</v>
      </c>
      <c r="D402" s="2" t="s">
        <v>148</v>
      </c>
      <c r="E402" s="4" t="s">
        <v>452</v>
      </c>
      <c r="F402" s="4" t="e">
        <f>VLOOKUP(I402,'Трансп. каталог'!$F$3:$I$743,2,0)</f>
        <v>#N/A</v>
      </c>
      <c r="G402" s="67" t="e">
        <f>VLOOKUP(I402,'Трансп. каталог'!$F$3:$I$743,3,0)</f>
        <v>#N/A</v>
      </c>
      <c r="H402" s="24" t="s">
        <v>453</v>
      </c>
      <c r="I402" s="25" t="str">
        <f t="shared" si="6"/>
        <v>061400904032025</v>
      </c>
      <c r="J402" s="43" t="s">
        <v>516</v>
      </c>
      <c r="K402" s="43" t="s">
        <v>638</v>
      </c>
      <c r="L402" s="43" t="s">
        <v>639</v>
      </c>
      <c r="M402" s="85" t="s">
        <v>638</v>
      </c>
      <c r="N402" s="90" t="s">
        <v>630</v>
      </c>
      <c r="O402" s="90" t="s">
        <v>1368</v>
      </c>
      <c r="P402" s="4" t="s">
        <v>149</v>
      </c>
      <c r="Q402" s="4" t="s">
        <v>10</v>
      </c>
      <c r="R402" s="74" t="s">
        <v>1402</v>
      </c>
    </row>
    <row r="403" spans="1:18" hidden="1" x14ac:dyDescent="0.2">
      <c r="A403" s="24" t="s">
        <v>147</v>
      </c>
      <c r="B403" s="5" t="s">
        <v>12</v>
      </c>
      <c r="C403" s="5" t="s">
        <v>3</v>
      </c>
      <c r="D403" s="2" t="s">
        <v>148</v>
      </c>
      <c r="E403" s="4" t="s">
        <v>456</v>
      </c>
      <c r="F403" s="4" t="e">
        <f>VLOOKUP(I403,'Трансп. каталог'!$F$3:$I$743,2,0)</f>
        <v>#N/A</v>
      </c>
      <c r="G403" s="67" t="e">
        <f>VLOOKUP(I403,'Трансп. каталог'!$F$3:$I$743,3,0)</f>
        <v>#N/A</v>
      </c>
      <c r="H403" s="24" t="s">
        <v>457</v>
      </c>
      <c r="I403" s="25" t="str">
        <f t="shared" ref="I403:I466" si="7">CONCATENATE(A403,H403)</f>
        <v>061400904042025</v>
      </c>
      <c r="J403" s="43" t="s">
        <v>633</v>
      </c>
      <c r="K403" s="43" t="s">
        <v>640</v>
      </c>
      <c r="L403" s="43" t="s">
        <v>641</v>
      </c>
      <c r="M403" s="85" t="s">
        <v>640</v>
      </c>
      <c r="N403" s="90" t="s">
        <v>442</v>
      </c>
      <c r="O403" s="90" t="s">
        <v>575</v>
      </c>
      <c r="P403" s="4" t="s">
        <v>149</v>
      </c>
      <c r="Q403" s="4" t="s">
        <v>10</v>
      </c>
      <c r="R403" s="74" t="s">
        <v>1402</v>
      </c>
    </row>
    <row r="404" spans="1:18" hidden="1" x14ac:dyDescent="0.2">
      <c r="A404" s="24" t="s">
        <v>142</v>
      </c>
      <c r="B404" s="5" t="s">
        <v>2</v>
      </c>
      <c r="C404" s="5" t="s">
        <v>30</v>
      </c>
      <c r="D404" s="2" t="s">
        <v>143</v>
      </c>
      <c r="E404" s="4" t="s">
        <v>446</v>
      </c>
      <c r="F404" s="4" t="str">
        <f>VLOOKUP(I404,'Трансп. каталог'!$F$3:$I$743,2,0)</f>
        <v>не позднее 28.03.2025</v>
      </c>
      <c r="G404" s="67">
        <f>VLOOKUP(I404,'Трансп. каталог'!$F$3:$I$743,3,0)</f>
        <v>0</v>
      </c>
      <c r="H404" s="24" t="s">
        <v>447</v>
      </c>
      <c r="I404" s="25" t="str">
        <f t="shared" si="7"/>
        <v>061401104012025</v>
      </c>
      <c r="J404" s="110" t="s">
        <v>521</v>
      </c>
      <c r="K404" s="110" t="s">
        <v>570</v>
      </c>
      <c r="L404" s="110" t="s">
        <v>637</v>
      </c>
      <c r="M404" s="104" t="s">
        <v>570</v>
      </c>
      <c r="N404" s="105" t="s">
        <v>591</v>
      </c>
      <c r="O404" s="105" t="s">
        <v>499</v>
      </c>
      <c r="P404" s="4" t="s">
        <v>144</v>
      </c>
      <c r="Q404" s="4" t="s">
        <v>6</v>
      </c>
      <c r="R404" s="71">
        <f>VLOOKUP(I404,'Трансп. каталог'!$F$3:$I$743,4,0)</f>
        <v>0</v>
      </c>
    </row>
    <row r="405" spans="1:18" hidden="1" x14ac:dyDescent="0.2">
      <c r="A405" s="24" t="s">
        <v>142</v>
      </c>
      <c r="B405" s="5" t="s">
        <v>2</v>
      </c>
      <c r="C405" s="5" t="s">
        <v>30</v>
      </c>
      <c r="D405" s="2" t="s">
        <v>143</v>
      </c>
      <c r="E405" s="4" t="s">
        <v>449</v>
      </c>
      <c r="F405" s="4" t="str">
        <f>VLOOKUP(I405,'Трансп. каталог'!$F$3:$I$743,2,0)</f>
        <v>не позднее 27.06.2025</v>
      </c>
      <c r="G405" s="67">
        <f>VLOOKUP(I405,'Трансп. каталог'!$F$3:$I$743,3,0)</f>
        <v>0</v>
      </c>
      <c r="H405" s="24" t="s">
        <v>450</v>
      </c>
      <c r="I405" s="25" t="str">
        <f t="shared" si="7"/>
        <v>061401104022025</v>
      </c>
      <c r="J405" s="110" t="s">
        <v>648</v>
      </c>
      <c r="K405" s="110" t="s">
        <v>572</v>
      </c>
      <c r="L405" s="110" t="s">
        <v>596</v>
      </c>
      <c r="M405" s="104" t="s">
        <v>572</v>
      </c>
      <c r="N405" s="105" t="s">
        <v>595</v>
      </c>
      <c r="O405" s="105" t="s">
        <v>501</v>
      </c>
      <c r="P405" s="4" t="s">
        <v>144</v>
      </c>
      <c r="Q405" s="4" t="s">
        <v>6</v>
      </c>
      <c r="R405" s="71">
        <f>VLOOKUP(I405,'Трансп. каталог'!$F$3:$I$743,4,0)</f>
        <v>0</v>
      </c>
    </row>
    <row r="406" spans="1:18" hidden="1" x14ac:dyDescent="0.2">
      <c r="A406" s="24" t="s">
        <v>142</v>
      </c>
      <c r="B406" s="5" t="s">
        <v>2</v>
      </c>
      <c r="C406" s="5" t="s">
        <v>30</v>
      </c>
      <c r="D406" s="2" t="s">
        <v>143</v>
      </c>
      <c r="E406" s="4" t="s">
        <v>452</v>
      </c>
      <c r="F406" s="4" t="str">
        <f>VLOOKUP(I406,'Трансп. каталог'!$F$3:$I$743,2,0)</f>
        <v>не позднее 26.09.2025</v>
      </c>
      <c r="G406" s="67">
        <f>VLOOKUP(I406,'Трансп. каталог'!$F$3:$I$743,3,0)</f>
        <v>0</v>
      </c>
      <c r="H406" s="24" t="s">
        <v>453</v>
      </c>
      <c r="I406" s="25" t="str">
        <f t="shared" si="7"/>
        <v>061401104032025</v>
      </c>
      <c r="J406" s="43" t="s">
        <v>1368</v>
      </c>
      <c r="K406" s="43" t="s">
        <v>638</v>
      </c>
      <c r="L406" s="43" t="s">
        <v>639</v>
      </c>
      <c r="M406" s="85" t="s">
        <v>638</v>
      </c>
      <c r="N406" s="90" t="s">
        <v>600</v>
      </c>
      <c r="O406" s="90" t="s">
        <v>504</v>
      </c>
      <c r="P406" s="4" t="s">
        <v>144</v>
      </c>
      <c r="Q406" s="4" t="s">
        <v>6</v>
      </c>
      <c r="R406" s="71">
        <f>VLOOKUP(I406,'Трансп. каталог'!$F$3:$I$743,4,0)</f>
        <v>0</v>
      </c>
    </row>
    <row r="407" spans="1:18" hidden="1" x14ac:dyDescent="0.2">
      <c r="A407" s="24" t="s">
        <v>142</v>
      </c>
      <c r="B407" s="5" t="s">
        <v>2</v>
      </c>
      <c r="C407" s="5" t="s">
        <v>30</v>
      </c>
      <c r="D407" s="2" t="s">
        <v>143</v>
      </c>
      <c r="E407" s="4" t="s">
        <v>456</v>
      </c>
      <c r="F407" s="4" t="str">
        <f>VLOOKUP(I407,'Трансп. каталог'!$F$3:$I$743,2,0)</f>
        <v>не позднее 26.12.2025</v>
      </c>
      <c r="G407" s="67">
        <f>VLOOKUP(I407,'Трансп. каталог'!$F$3:$I$743,3,0)</f>
        <v>0</v>
      </c>
      <c r="H407" s="24" t="s">
        <v>457</v>
      </c>
      <c r="I407" s="25" t="str">
        <f t="shared" si="7"/>
        <v>061401104042025</v>
      </c>
      <c r="J407" s="43" t="s">
        <v>442</v>
      </c>
      <c r="K407" s="43" t="s">
        <v>640</v>
      </c>
      <c r="L407" s="43" t="s">
        <v>641</v>
      </c>
      <c r="M407" s="85" t="s">
        <v>640</v>
      </c>
      <c r="N407" s="90" t="s">
        <v>481</v>
      </c>
      <c r="O407" s="90" t="s">
        <v>1379</v>
      </c>
      <c r="P407" s="4" t="s">
        <v>144</v>
      </c>
      <c r="Q407" s="4" t="s">
        <v>6</v>
      </c>
      <c r="R407" s="71">
        <f>VLOOKUP(I407,'Трансп. каталог'!$F$3:$I$743,4,0)</f>
        <v>0</v>
      </c>
    </row>
    <row r="408" spans="1:18" hidden="1" x14ac:dyDescent="0.2">
      <c r="A408" s="24" t="s">
        <v>101</v>
      </c>
      <c r="B408" s="5" t="s">
        <v>12</v>
      </c>
      <c r="C408" s="5" t="s">
        <v>3</v>
      </c>
      <c r="D408" s="2" t="s">
        <v>102</v>
      </c>
      <c r="E408" s="4" t="s">
        <v>427</v>
      </c>
      <c r="F408" s="4" t="e">
        <f>VLOOKUP(I408,'Трансп. каталог'!$F$3:$I$743,2,0)</f>
        <v>#N/A</v>
      </c>
      <c r="G408" s="67" t="e">
        <f>VLOOKUP(I408,'Трансп. каталог'!$F$3:$I$743,3,0)</f>
        <v>#N/A</v>
      </c>
      <c r="H408" s="24" t="s">
        <v>428</v>
      </c>
      <c r="I408" s="25" t="str">
        <f t="shared" si="7"/>
        <v>061401912092025</v>
      </c>
      <c r="J408" s="43"/>
      <c r="K408" s="43" t="s">
        <v>485</v>
      </c>
      <c r="L408" s="43" t="s">
        <v>602</v>
      </c>
      <c r="M408" s="85" t="s">
        <v>485</v>
      </c>
      <c r="N408" s="85"/>
      <c r="O408" s="85"/>
      <c r="P408" s="4" t="s">
        <v>103</v>
      </c>
      <c r="Q408" s="4" t="s">
        <v>33</v>
      </c>
      <c r="R408" s="71"/>
    </row>
    <row r="409" spans="1:18" hidden="1" x14ac:dyDescent="0.2">
      <c r="A409" s="122" t="s">
        <v>119</v>
      </c>
      <c r="B409" s="123" t="s">
        <v>2</v>
      </c>
      <c r="C409" s="123" t="s">
        <v>30</v>
      </c>
      <c r="D409" s="118" t="s">
        <v>120</v>
      </c>
      <c r="E409" s="124" t="s">
        <v>446</v>
      </c>
      <c r="F409" s="4" t="str">
        <f>VLOOKUP(I409,'Трансп. каталог'!$F$3:$I$743,2,0)</f>
        <v>не позднее 28.03.2025</v>
      </c>
      <c r="G409" s="67">
        <f>VLOOKUP(I409,'Трансп. каталог'!$F$3:$I$743,3,0)</f>
        <v>0</v>
      </c>
      <c r="H409" s="24" t="s">
        <v>447</v>
      </c>
      <c r="I409" s="25" t="str">
        <f t="shared" si="7"/>
        <v>061402604012025</v>
      </c>
      <c r="J409" s="132" t="s">
        <v>591</v>
      </c>
      <c r="K409" s="132" t="s">
        <v>393</v>
      </c>
      <c r="L409" s="132" t="s">
        <v>461</v>
      </c>
      <c r="M409" s="132" t="s">
        <v>393</v>
      </c>
      <c r="N409" s="133" t="s">
        <v>406</v>
      </c>
      <c r="O409" s="133" t="s">
        <v>570</v>
      </c>
      <c r="P409" s="124" t="s">
        <v>103</v>
      </c>
      <c r="Q409" s="124" t="s">
        <v>33</v>
      </c>
      <c r="R409" s="180" t="s">
        <v>1420</v>
      </c>
    </row>
    <row r="410" spans="1:18" hidden="1" x14ac:dyDescent="0.2">
      <c r="A410" s="125" t="s">
        <v>119</v>
      </c>
      <c r="B410" s="126" t="s">
        <v>2</v>
      </c>
      <c r="C410" s="126" t="s">
        <v>30</v>
      </c>
      <c r="D410" s="118" t="s">
        <v>120</v>
      </c>
      <c r="E410" s="127" t="s">
        <v>449</v>
      </c>
      <c r="F410" s="26" t="str">
        <f>VLOOKUP(I410,'Трансп. каталог'!$F$3:$I$743,2,0)</f>
        <v>не позднее 27.06.2025</v>
      </c>
      <c r="G410" s="68">
        <f>VLOOKUP(I410,'Трансп. каталог'!$F$3:$I$743,3,0)</f>
        <v>0</v>
      </c>
      <c r="H410" s="27" t="s">
        <v>450</v>
      </c>
      <c r="I410" s="29" t="str">
        <f t="shared" si="7"/>
        <v>061402604022025</v>
      </c>
      <c r="J410" s="134" t="s">
        <v>595</v>
      </c>
      <c r="K410" s="134" t="s">
        <v>483</v>
      </c>
      <c r="L410" s="134" t="s">
        <v>615</v>
      </c>
      <c r="M410" s="134" t="s">
        <v>483</v>
      </c>
      <c r="N410" s="135" t="s">
        <v>418</v>
      </c>
      <c r="O410" s="135" t="s">
        <v>572</v>
      </c>
      <c r="P410" s="127" t="s">
        <v>103</v>
      </c>
      <c r="Q410" s="127" t="s">
        <v>33</v>
      </c>
      <c r="R410" s="181" t="s">
        <v>1420</v>
      </c>
    </row>
    <row r="411" spans="1:18" ht="17.25" hidden="1" customHeight="1" x14ac:dyDescent="0.2">
      <c r="A411" s="116" t="s">
        <v>119</v>
      </c>
      <c r="B411" s="117" t="s">
        <v>2</v>
      </c>
      <c r="C411" s="117" t="s">
        <v>30</v>
      </c>
      <c r="D411" s="118" t="s">
        <v>120</v>
      </c>
      <c r="E411" s="118" t="s">
        <v>452</v>
      </c>
      <c r="F411" s="2" t="str">
        <f>VLOOKUP(I411,'Трансп. каталог'!$F$3:$I$743,2,0)</f>
        <v>не позднее 29.09.2025</v>
      </c>
      <c r="G411" s="65">
        <f>VLOOKUP(I411,'Трансп. каталог'!$F$3:$I$743,3,0)</f>
        <v>0</v>
      </c>
      <c r="H411" s="18" t="s">
        <v>453</v>
      </c>
      <c r="I411" s="19" t="str">
        <f t="shared" si="7"/>
        <v>061402604032025</v>
      </c>
      <c r="J411" s="128" t="s">
        <v>600</v>
      </c>
      <c r="K411" s="128" t="s">
        <v>485</v>
      </c>
      <c r="L411" s="128" t="s">
        <v>616</v>
      </c>
      <c r="M411" s="128" t="s">
        <v>485</v>
      </c>
      <c r="N411" s="129" t="s">
        <v>485</v>
      </c>
      <c r="O411" s="129" t="s">
        <v>715</v>
      </c>
      <c r="P411" s="118" t="s">
        <v>103</v>
      </c>
      <c r="Q411" s="118" t="s">
        <v>33</v>
      </c>
      <c r="R411" s="136" t="s">
        <v>1420</v>
      </c>
    </row>
    <row r="412" spans="1:18" hidden="1" x14ac:dyDescent="0.2">
      <c r="A412" s="119" t="s">
        <v>119</v>
      </c>
      <c r="B412" s="120" t="s">
        <v>2</v>
      </c>
      <c r="C412" s="120" t="s">
        <v>30</v>
      </c>
      <c r="D412" s="121" t="s">
        <v>120</v>
      </c>
      <c r="E412" s="121" t="s">
        <v>456</v>
      </c>
      <c r="F412" s="20" t="str">
        <f>VLOOKUP(I412,'Трансп. каталог'!$F$3:$I$743,2,0)</f>
        <v>не позднее 29.12.2025</v>
      </c>
      <c r="G412" s="66">
        <f>VLOOKUP(I412,'Трансп. каталог'!$F$3:$I$743,3,0)</f>
        <v>0</v>
      </c>
      <c r="H412" s="21" t="s">
        <v>457</v>
      </c>
      <c r="I412" s="23" t="str">
        <f t="shared" si="7"/>
        <v>061402604042025</v>
      </c>
      <c r="J412" s="130" t="s">
        <v>633</v>
      </c>
      <c r="K412" s="130" t="s">
        <v>617</v>
      </c>
      <c r="L412" s="130" t="s">
        <v>618</v>
      </c>
      <c r="M412" s="130" t="s">
        <v>617</v>
      </c>
      <c r="N412" s="131" t="s">
        <v>442</v>
      </c>
      <c r="O412" s="131" t="s">
        <v>575</v>
      </c>
      <c r="P412" s="121" t="s">
        <v>103</v>
      </c>
      <c r="Q412" s="121" t="s">
        <v>33</v>
      </c>
      <c r="R412" s="136" t="s">
        <v>1420</v>
      </c>
    </row>
    <row r="413" spans="1:18" hidden="1" x14ac:dyDescent="0.2">
      <c r="A413" s="24" t="s">
        <v>145</v>
      </c>
      <c r="B413" s="5" t="s">
        <v>2</v>
      </c>
      <c r="C413" s="5" t="s">
        <v>30</v>
      </c>
      <c r="D413" s="4" t="s">
        <v>146</v>
      </c>
      <c r="E413" s="4" t="s">
        <v>446</v>
      </c>
      <c r="F413" s="4" t="str">
        <f>VLOOKUP(I413,'Трансп. каталог'!$F$3:$I$743,2,0)</f>
        <v>не позднее 28.03.2025</v>
      </c>
      <c r="G413" s="67">
        <f>VLOOKUP(I413,'Трансп. каталог'!$F$3:$I$743,3,0)</f>
        <v>0</v>
      </c>
      <c r="H413" s="24" t="s">
        <v>447</v>
      </c>
      <c r="I413" s="25" t="str">
        <f t="shared" si="7"/>
        <v>061404604012025</v>
      </c>
      <c r="J413" s="110" t="s">
        <v>528</v>
      </c>
      <c r="K413" s="151" t="s">
        <v>511</v>
      </c>
      <c r="L413" s="151" t="s">
        <v>528</v>
      </c>
      <c r="M413" s="139">
        <v>45762</v>
      </c>
      <c r="N413" s="170">
        <v>45769</v>
      </c>
      <c r="O413" s="170">
        <v>45771</v>
      </c>
      <c r="P413" s="4" t="s">
        <v>115</v>
      </c>
      <c r="Q413" s="4"/>
      <c r="R413" s="74">
        <f>VLOOKUP(I413,'Трансп. каталог'!$F$3:$I$743,4,0)</f>
        <v>0</v>
      </c>
    </row>
    <row r="414" spans="1:18" hidden="1" x14ac:dyDescent="0.2">
      <c r="A414" s="24" t="s">
        <v>145</v>
      </c>
      <c r="B414" s="5" t="s">
        <v>2</v>
      </c>
      <c r="C414" s="5" t="s">
        <v>30</v>
      </c>
      <c r="D414" s="4" t="s">
        <v>146</v>
      </c>
      <c r="E414" s="4" t="s">
        <v>449</v>
      </c>
      <c r="F414" s="4" t="str">
        <f>VLOOKUP(I414,'Трансп. каталог'!$F$3:$I$743,2,0)</f>
        <v>не позднее 27.06.2025</v>
      </c>
      <c r="G414" s="67">
        <f>VLOOKUP(I414,'Трансп. каталог'!$F$3:$I$743,3,0)</f>
        <v>0</v>
      </c>
      <c r="H414" s="24" t="s">
        <v>450</v>
      </c>
      <c r="I414" s="25" t="str">
        <f t="shared" si="7"/>
        <v>061404604022025</v>
      </c>
      <c r="J414" s="110" t="s">
        <v>534</v>
      </c>
      <c r="K414" s="151" t="s">
        <v>513</v>
      </c>
      <c r="L414" s="151" t="s">
        <v>534</v>
      </c>
      <c r="M414" s="85"/>
      <c r="N414" s="90"/>
      <c r="O414" s="90"/>
      <c r="P414" s="4" t="s">
        <v>115</v>
      </c>
      <c r="Q414" s="4"/>
      <c r="R414" s="74">
        <f>VLOOKUP(I414,'Трансп. каталог'!$F$3:$I$743,4,0)</f>
        <v>0</v>
      </c>
    </row>
    <row r="415" spans="1:18" hidden="1" x14ac:dyDescent="0.2">
      <c r="A415" s="24" t="s">
        <v>145</v>
      </c>
      <c r="B415" s="5" t="s">
        <v>2</v>
      </c>
      <c r="C415" s="5" t="s">
        <v>30</v>
      </c>
      <c r="D415" s="4" t="s">
        <v>146</v>
      </c>
      <c r="E415" s="4" t="s">
        <v>452</v>
      </c>
      <c r="F415" s="4" t="str">
        <f>VLOOKUP(I415,'Трансп. каталог'!$F$3:$I$743,2,0)</f>
        <v>не позднее 26.09.2025</v>
      </c>
      <c r="G415" s="67">
        <f>VLOOKUP(I415,'Трансп. каталог'!$F$3:$I$743,3,0)</f>
        <v>0</v>
      </c>
      <c r="H415" s="24" t="s">
        <v>453</v>
      </c>
      <c r="I415" s="25" t="str">
        <f t="shared" si="7"/>
        <v>061404604032025</v>
      </c>
      <c r="J415" s="43" t="s">
        <v>587</v>
      </c>
      <c r="K415" s="114" t="s">
        <v>516</v>
      </c>
      <c r="L415" s="153">
        <v>45957</v>
      </c>
      <c r="M415" s="85"/>
      <c r="N415" s="90"/>
      <c r="O415" s="90"/>
      <c r="P415" s="4" t="s">
        <v>115</v>
      </c>
      <c r="Q415" s="4"/>
      <c r="R415" s="74">
        <f>VLOOKUP(I415,'Трансп. каталог'!$F$3:$I$743,4,0)</f>
        <v>0</v>
      </c>
    </row>
    <row r="416" spans="1:18" hidden="1" x14ac:dyDescent="0.2">
      <c r="A416" s="24" t="s">
        <v>145</v>
      </c>
      <c r="B416" s="5" t="s">
        <v>2</v>
      </c>
      <c r="C416" s="5" t="s">
        <v>30</v>
      </c>
      <c r="D416" s="4" t="s">
        <v>146</v>
      </c>
      <c r="E416" s="4" t="s">
        <v>456</v>
      </c>
      <c r="F416" s="4" t="str">
        <f>VLOOKUP(I416,'Трансп. каталог'!$F$3:$I$743,2,0)</f>
        <v>не позднее 30.12.2025</v>
      </c>
      <c r="G416" s="67">
        <f>VLOOKUP(I416,'Трансп. каталог'!$F$3:$I$743,3,0)</f>
        <v>0</v>
      </c>
      <c r="H416" s="24" t="s">
        <v>457</v>
      </c>
      <c r="I416" s="25" t="str">
        <f t="shared" si="7"/>
        <v>061404604042025</v>
      </c>
      <c r="J416" s="148">
        <v>46048</v>
      </c>
      <c r="K416" s="153">
        <v>46037</v>
      </c>
      <c r="L416" s="155">
        <v>46048</v>
      </c>
      <c r="M416" s="85"/>
      <c r="N416" s="90"/>
      <c r="O416" s="90"/>
      <c r="P416" s="4" t="s">
        <v>115</v>
      </c>
      <c r="Q416" s="4"/>
      <c r="R416" s="74">
        <f>VLOOKUP(I416,'Трансп. каталог'!$F$3:$I$743,4,0)</f>
        <v>0</v>
      </c>
    </row>
    <row r="417" spans="1:18" hidden="1" x14ac:dyDescent="0.2">
      <c r="A417" s="24" t="s">
        <v>140</v>
      </c>
      <c r="B417" s="5" t="s">
        <v>2</v>
      </c>
      <c r="C417" s="5" t="s">
        <v>30</v>
      </c>
      <c r="D417" s="4" t="s">
        <v>141</v>
      </c>
      <c r="E417" s="4">
        <v>2024</v>
      </c>
      <c r="F417" s="4" t="str">
        <f>VLOOKUP(I417,'Трансп. каталог'!$F$3:$I$743,2,0)</f>
        <v xml:space="preserve">
не позднее 20.12.2024</v>
      </c>
      <c r="G417" s="67" t="str">
        <f>VLOOKUP(I417,'Трансп. каталог'!$F$3:$I$743,3,0)</f>
        <v>с 10 по 25 января</v>
      </c>
      <c r="H417" s="24" t="s">
        <v>392</v>
      </c>
      <c r="I417" s="25" t="str">
        <f t="shared" si="7"/>
        <v>061500701012024</v>
      </c>
      <c r="J417" s="110" t="s">
        <v>678</v>
      </c>
      <c r="K417" s="110" t="s">
        <v>462</v>
      </c>
      <c r="L417" s="110" t="s">
        <v>498</v>
      </c>
      <c r="M417" s="104" t="s">
        <v>462</v>
      </c>
      <c r="N417" s="105" t="s">
        <v>666</v>
      </c>
      <c r="O417" s="105" t="s">
        <v>522</v>
      </c>
      <c r="P417" s="4" t="s">
        <v>106</v>
      </c>
      <c r="Q417" s="4" t="s">
        <v>33</v>
      </c>
      <c r="R417" s="74">
        <f>VLOOKUP(I417,'Трансп. каталог'!$F$3:$I$743,4,0)</f>
        <v>0</v>
      </c>
    </row>
    <row r="418" spans="1:18" hidden="1" x14ac:dyDescent="0.2">
      <c r="A418" s="24" t="s">
        <v>150</v>
      </c>
      <c r="B418" s="5" t="s">
        <v>2</v>
      </c>
      <c r="C418" s="5" t="s">
        <v>30</v>
      </c>
      <c r="D418" s="4" t="s">
        <v>151</v>
      </c>
      <c r="E418" s="4" t="s">
        <v>395</v>
      </c>
      <c r="F418" s="4" t="str">
        <f>VLOOKUP(I418,'Трансп. каталог'!$F$3:$I$743,2,0)</f>
        <v xml:space="preserve">
не позднее 29.01.2025</v>
      </c>
      <c r="G418" s="67">
        <f>VLOOKUP(I418,'Трансп. каталог'!$F$3:$I$743,3,0)</f>
        <v>0</v>
      </c>
      <c r="H418" s="24" t="s">
        <v>396</v>
      </c>
      <c r="I418" s="25" t="str">
        <f t="shared" si="7"/>
        <v>061505512012025</v>
      </c>
      <c r="J418" s="110" t="s">
        <v>460</v>
      </c>
      <c r="K418" s="110" t="s">
        <v>619</v>
      </c>
      <c r="L418" s="110" t="s">
        <v>520</v>
      </c>
      <c r="M418" s="138" t="s">
        <v>1401</v>
      </c>
      <c r="N418" s="138" t="s">
        <v>1401</v>
      </c>
      <c r="O418" s="138" t="s">
        <v>1401</v>
      </c>
      <c r="P418" s="4" t="s">
        <v>152</v>
      </c>
      <c r="Q418" s="4"/>
      <c r="R418" s="74" t="s">
        <v>1406</v>
      </c>
    </row>
    <row r="419" spans="1:18" hidden="1" x14ac:dyDescent="0.2">
      <c r="A419" s="24" t="s">
        <v>150</v>
      </c>
      <c r="B419" s="5" t="s">
        <v>2</v>
      </c>
      <c r="C419" s="5" t="s">
        <v>30</v>
      </c>
      <c r="D419" s="4" t="s">
        <v>151</v>
      </c>
      <c r="E419" s="4" t="s">
        <v>399</v>
      </c>
      <c r="F419" s="4" t="str">
        <f>VLOOKUP(I419,'Трансп. каталог'!$F$3:$I$743,2,0)</f>
        <v>не позднее 27.02.2025</v>
      </c>
      <c r="G419" s="67">
        <f>VLOOKUP(I419,'Трансп. каталог'!$F$3:$I$743,3,0)</f>
        <v>0</v>
      </c>
      <c r="H419" s="24" t="s">
        <v>400</v>
      </c>
      <c r="I419" s="25" t="str">
        <f t="shared" si="7"/>
        <v>061505512022025</v>
      </c>
      <c r="J419" s="110" t="s">
        <v>465</v>
      </c>
      <c r="K419" s="110" t="s">
        <v>621</v>
      </c>
      <c r="L419" s="110" t="s">
        <v>545</v>
      </c>
      <c r="M419" s="138" t="s">
        <v>1401</v>
      </c>
      <c r="N419" s="138" t="s">
        <v>1401</v>
      </c>
      <c r="O419" s="138" t="s">
        <v>1401</v>
      </c>
      <c r="P419" s="4" t="s">
        <v>152</v>
      </c>
      <c r="Q419" s="4"/>
      <c r="R419" s="74" t="s">
        <v>1406</v>
      </c>
    </row>
    <row r="420" spans="1:18" hidden="1" x14ac:dyDescent="0.2">
      <c r="A420" s="24" t="s">
        <v>150</v>
      </c>
      <c r="B420" s="5" t="s">
        <v>2</v>
      </c>
      <c r="C420" s="5" t="s">
        <v>30</v>
      </c>
      <c r="D420" s="4" t="s">
        <v>151</v>
      </c>
      <c r="E420" s="4" t="s">
        <v>403</v>
      </c>
      <c r="F420" s="4" t="str">
        <f>VLOOKUP(I420,'Трансп. каталог'!$F$3:$I$743,2,0)</f>
        <v>не позднее 28.03.2025</v>
      </c>
      <c r="G420" s="67">
        <f>VLOOKUP(I420,'Трансп. каталог'!$F$3:$I$743,3,0)</f>
        <v>0</v>
      </c>
      <c r="H420" s="24" t="s">
        <v>404</v>
      </c>
      <c r="I420" s="25" t="str">
        <f t="shared" si="7"/>
        <v>061505512032025</v>
      </c>
      <c r="J420" s="110" t="s">
        <v>643</v>
      </c>
      <c r="K420" s="110" t="s">
        <v>393</v>
      </c>
      <c r="L420" s="110" t="s">
        <v>521</v>
      </c>
      <c r="M420" s="182">
        <v>45748</v>
      </c>
      <c r="N420" s="138" t="s">
        <v>1401</v>
      </c>
      <c r="O420" s="138" t="s">
        <v>1401</v>
      </c>
      <c r="P420" s="4" t="s">
        <v>152</v>
      </c>
      <c r="Q420" s="4"/>
      <c r="R420" s="74" t="s">
        <v>1423</v>
      </c>
    </row>
    <row r="421" spans="1:18" hidden="1" x14ac:dyDescent="0.2">
      <c r="A421" s="24" t="s">
        <v>150</v>
      </c>
      <c r="B421" s="5" t="s">
        <v>2</v>
      </c>
      <c r="C421" s="5" t="s">
        <v>30</v>
      </c>
      <c r="D421" s="4" t="s">
        <v>151</v>
      </c>
      <c r="E421" s="4" t="s">
        <v>407</v>
      </c>
      <c r="F421" s="4" t="str">
        <f>VLOOKUP(I421,'Трансп. каталог'!$F$3:$I$743,2,0)</f>
        <v xml:space="preserve">
не позднее 29.04.2025</v>
      </c>
      <c r="G421" s="67">
        <f>VLOOKUP(I421,'Трансп. каталог'!$F$3:$I$743,3,0)</f>
        <v>0</v>
      </c>
      <c r="H421" s="24" t="s">
        <v>408</v>
      </c>
      <c r="I421" s="25" t="str">
        <f t="shared" si="7"/>
        <v>061505512042025</v>
      </c>
      <c r="J421" s="110" t="s">
        <v>603</v>
      </c>
      <c r="K421" s="110" t="s">
        <v>623</v>
      </c>
      <c r="L421" s="110" t="s">
        <v>645</v>
      </c>
      <c r="M421" s="212">
        <v>45777</v>
      </c>
      <c r="N421" s="213" t="s">
        <v>1401</v>
      </c>
      <c r="O421" s="213" t="s">
        <v>1401</v>
      </c>
      <c r="P421" s="4" t="s">
        <v>152</v>
      </c>
      <c r="Q421" s="4"/>
      <c r="R421" s="74" t="s">
        <v>1423</v>
      </c>
    </row>
    <row r="422" spans="1:18" hidden="1" x14ac:dyDescent="0.2">
      <c r="A422" s="27" t="s">
        <v>150</v>
      </c>
      <c r="B422" s="28" t="s">
        <v>2</v>
      </c>
      <c r="C422" s="28" t="s">
        <v>30</v>
      </c>
      <c r="D422" s="26" t="s">
        <v>151</v>
      </c>
      <c r="E422" s="26" t="s">
        <v>411</v>
      </c>
      <c r="F422" s="26" t="str">
        <f>VLOOKUP(I422,'Трансп. каталог'!$F$3:$I$743,2,0)</f>
        <v xml:space="preserve">
не позднее 27.05.2025</v>
      </c>
      <c r="G422" s="68">
        <f>VLOOKUP(I422,'Трансп. каталог'!$F$3:$I$743,3,0)</f>
        <v>0</v>
      </c>
      <c r="H422" s="27" t="s">
        <v>412</v>
      </c>
      <c r="I422" s="29" t="str">
        <f t="shared" si="7"/>
        <v>061505512052025</v>
      </c>
      <c r="J422" s="141" t="s">
        <v>1377</v>
      </c>
      <c r="K422" s="141" t="s">
        <v>646</v>
      </c>
      <c r="L422" s="141" t="s">
        <v>647</v>
      </c>
      <c r="M422" s="212" t="s">
        <v>646</v>
      </c>
      <c r="N422" s="212" t="s">
        <v>1401</v>
      </c>
      <c r="O422" s="212" t="s">
        <v>1401</v>
      </c>
      <c r="P422" s="26" t="s">
        <v>152</v>
      </c>
      <c r="Q422" s="26"/>
      <c r="R422" s="74" t="s">
        <v>1423</v>
      </c>
    </row>
    <row r="423" spans="1:18" hidden="1" x14ac:dyDescent="0.2">
      <c r="A423" s="18" t="s">
        <v>150</v>
      </c>
      <c r="B423" s="3" t="s">
        <v>2</v>
      </c>
      <c r="C423" s="3" t="s">
        <v>30</v>
      </c>
      <c r="D423" s="2" t="s">
        <v>151</v>
      </c>
      <c r="E423" s="2" t="s">
        <v>415</v>
      </c>
      <c r="F423" s="2" t="str">
        <f>VLOOKUP(I423,'Трансп. каталог'!$F$3:$I$743,2,0)</f>
        <v xml:space="preserve">
не позднее 30.06.2025</v>
      </c>
      <c r="G423" s="65">
        <f>VLOOKUP(I423,'Трансп. каталог'!$F$3:$I$743,3,0)</f>
        <v>0</v>
      </c>
      <c r="H423" s="18" t="s">
        <v>416</v>
      </c>
      <c r="I423" s="19" t="str">
        <f t="shared" si="7"/>
        <v>061505512062025</v>
      </c>
      <c r="J423" s="93" t="s">
        <v>644</v>
      </c>
      <c r="K423" s="93" t="s">
        <v>483</v>
      </c>
      <c r="L423" s="93" t="s">
        <v>648</v>
      </c>
      <c r="M423" s="212" t="s">
        <v>483</v>
      </c>
      <c r="N423" s="212" t="s">
        <v>1401</v>
      </c>
      <c r="O423" s="212" t="s">
        <v>1401</v>
      </c>
      <c r="P423" s="2" t="s">
        <v>152</v>
      </c>
      <c r="Q423" s="2"/>
      <c r="R423" s="74" t="s">
        <v>1423</v>
      </c>
    </row>
    <row r="424" spans="1:18" hidden="1" x14ac:dyDescent="0.2">
      <c r="A424" s="21" t="s">
        <v>150</v>
      </c>
      <c r="B424" s="22" t="s">
        <v>2</v>
      </c>
      <c r="C424" s="22" t="s">
        <v>30</v>
      </c>
      <c r="D424" s="2" t="s">
        <v>151</v>
      </c>
      <c r="E424" s="20" t="s">
        <v>419</v>
      </c>
      <c r="F424" s="20" t="str">
        <f>VLOOKUP(I424,'Трансп. каталог'!$F$3:$I$743,2,0)</f>
        <v xml:space="preserve">
не позднее 29.07.2025</v>
      </c>
      <c r="G424" s="66">
        <f>VLOOKUP(I424,'Трансп. каталог'!$F$3:$I$743,3,0)</f>
        <v>0</v>
      </c>
      <c r="H424" s="21" t="s">
        <v>420</v>
      </c>
      <c r="I424" s="23" t="str">
        <f t="shared" si="7"/>
        <v>061505512072025</v>
      </c>
      <c r="J424" s="42" t="s">
        <v>612</v>
      </c>
      <c r="K424" s="42" t="s">
        <v>627</v>
      </c>
      <c r="L424" s="42" t="s">
        <v>553</v>
      </c>
      <c r="M424" s="22" t="s">
        <v>627</v>
      </c>
      <c r="N424" s="159" t="s">
        <v>1401</v>
      </c>
      <c r="O424" s="159" t="s">
        <v>1401</v>
      </c>
      <c r="P424" s="20" t="s">
        <v>152</v>
      </c>
      <c r="Q424" s="20"/>
      <c r="R424" s="74" t="s">
        <v>1423</v>
      </c>
    </row>
    <row r="425" spans="1:18" hidden="1" x14ac:dyDescent="0.2">
      <c r="A425" s="24" t="s">
        <v>150</v>
      </c>
      <c r="B425" s="5" t="s">
        <v>2</v>
      </c>
      <c r="C425" s="5" t="s">
        <v>30</v>
      </c>
      <c r="D425" s="2" t="s">
        <v>151</v>
      </c>
      <c r="E425" s="4" t="s">
        <v>423</v>
      </c>
      <c r="F425" s="4" t="str">
        <f>VLOOKUP(I425,'Трансп. каталог'!$F$3:$I$743,2,0)</f>
        <v>не позднее 29.08.2025</v>
      </c>
      <c r="G425" s="67">
        <f>VLOOKUP(I425,'Трансп. каталог'!$F$3:$I$743,3,0)</f>
        <v>0</v>
      </c>
      <c r="H425" s="24" t="s">
        <v>424</v>
      </c>
      <c r="I425" s="25" t="str">
        <f t="shared" si="7"/>
        <v>061505512082025</v>
      </c>
      <c r="J425" s="43" t="s">
        <v>598</v>
      </c>
      <c r="K425" s="43" t="s">
        <v>607</v>
      </c>
      <c r="L425" s="43" t="s">
        <v>649</v>
      </c>
      <c r="M425" s="5" t="s">
        <v>607</v>
      </c>
      <c r="N425" s="158" t="s">
        <v>1401</v>
      </c>
      <c r="O425" s="158" t="s">
        <v>1401</v>
      </c>
      <c r="P425" s="4" t="s">
        <v>152</v>
      </c>
      <c r="Q425" s="4"/>
      <c r="R425" s="74" t="s">
        <v>1423</v>
      </c>
    </row>
    <row r="426" spans="1:18" hidden="1" x14ac:dyDescent="0.2">
      <c r="A426" s="24" t="s">
        <v>150</v>
      </c>
      <c r="B426" s="5" t="s">
        <v>2</v>
      </c>
      <c r="C426" s="5" t="s">
        <v>30</v>
      </c>
      <c r="D426" s="2" t="s">
        <v>151</v>
      </c>
      <c r="E426" s="4" t="s">
        <v>427</v>
      </c>
      <c r="F426" s="4" t="str">
        <f>VLOOKUP(I426,'Трансп. каталог'!$F$3:$I$743,2,0)</f>
        <v xml:space="preserve">
не позднее 30.09.2025</v>
      </c>
      <c r="G426" s="67">
        <f>VLOOKUP(I426,'Трансп. каталог'!$F$3:$I$743,3,0)</f>
        <v>0</v>
      </c>
      <c r="H426" s="24" t="s">
        <v>428</v>
      </c>
      <c r="I426" s="25" t="str">
        <f t="shared" si="7"/>
        <v>061505512092025</v>
      </c>
      <c r="J426" s="43" t="s">
        <v>638</v>
      </c>
      <c r="K426" s="43" t="s">
        <v>485</v>
      </c>
      <c r="L426" s="43" t="s">
        <v>650</v>
      </c>
      <c r="M426" s="5" t="s">
        <v>485</v>
      </c>
      <c r="N426" s="158" t="s">
        <v>1401</v>
      </c>
      <c r="O426" s="158" t="s">
        <v>1401</v>
      </c>
      <c r="P426" s="4" t="s">
        <v>152</v>
      </c>
      <c r="Q426" s="4"/>
      <c r="R426" s="74" t="s">
        <v>1423</v>
      </c>
    </row>
    <row r="427" spans="1:18" hidden="1" x14ac:dyDescent="0.2">
      <c r="A427" s="24" t="s">
        <v>150</v>
      </c>
      <c r="B427" s="5" t="s">
        <v>2</v>
      </c>
      <c r="C427" s="5" t="s">
        <v>30</v>
      </c>
      <c r="D427" s="2" t="s">
        <v>151</v>
      </c>
      <c r="E427" s="4" t="s">
        <v>431</v>
      </c>
      <c r="F427" s="4" t="str">
        <f>VLOOKUP(I427,'Трансп. каталог'!$F$3:$I$743,2,0)</f>
        <v xml:space="preserve">
не позднее 28.10.2025</v>
      </c>
      <c r="G427" s="67">
        <f>VLOOKUP(I427,'Трансп. каталог'!$F$3:$I$743,3,0)</f>
        <v>0</v>
      </c>
      <c r="H427" s="24" t="s">
        <v>432</v>
      </c>
      <c r="I427" s="25" t="str">
        <f t="shared" si="7"/>
        <v>061505512102025</v>
      </c>
      <c r="J427" s="43" t="s">
        <v>434</v>
      </c>
      <c r="K427" s="43" t="s">
        <v>602</v>
      </c>
      <c r="L427" s="43" t="s">
        <v>651</v>
      </c>
      <c r="M427" s="5" t="s">
        <v>602</v>
      </c>
      <c r="N427" s="158" t="s">
        <v>1401</v>
      </c>
      <c r="O427" s="158" t="s">
        <v>1401</v>
      </c>
      <c r="P427" s="4" t="s">
        <v>152</v>
      </c>
      <c r="Q427" s="4"/>
      <c r="R427" s="74" t="s">
        <v>1423</v>
      </c>
    </row>
    <row r="428" spans="1:18" hidden="1" x14ac:dyDescent="0.2">
      <c r="A428" s="24" t="s">
        <v>150</v>
      </c>
      <c r="B428" s="5" t="s">
        <v>2</v>
      </c>
      <c r="C428" s="5" t="s">
        <v>30</v>
      </c>
      <c r="D428" s="2" t="s">
        <v>151</v>
      </c>
      <c r="E428" s="4" t="s">
        <v>435</v>
      </c>
      <c r="F428" s="4" t="str">
        <f>VLOOKUP(I428,'Трансп. каталог'!$F$3:$I$743,2,0)</f>
        <v>не позднее 28.11.2025</v>
      </c>
      <c r="G428" s="67">
        <f>VLOOKUP(I428,'Трансп. каталог'!$F$3:$I$743,3,0)</f>
        <v>0</v>
      </c>
      <c r="H428" s="24" t="s">
        <v>436</v>
      </c>
      <c r="I428" s="25" t="str">
        <f t="shared" si="7"/>
        <v>061505512112025</v>
      </c>
      <c r="J428" s="43" t="s">
        <v>599</v>
      </c>
      <c r="K428" s="43" t="s">
        <v>608</v>
      </c>
      <c r="L428" s="43" t="s">
        <v>652</v>
      </c>
      <c r="M428" s="5" t="s">
        <v>608</v>
      </c>
      <c r="N428" s="158" t="s">
        <v>1401</v>
      </c>
      <c r="O428" s="158" t="s">
        <v>1401</v>
      </c>
      <c r="P428" s="4" t="s">
        <v>152</v>
      </c>
      <c r="Q428" s="4"/>
      <c r="R428" s="74" t="s">
        <v>1423</v>
      </c>
    </row>
    <row r="429" spans="1:18" hidden="1" x14ac:dyDescent="0.2">
      <c r="A429" s="24" t="s">
        <v>153</v>
      </c>
      <c r="B429" s="5" t="s">
        <v>2</v>
      </c>
      <c r="C429" s="5" t="s">
        <v>30</v>
      </c>
      <c r="D429" s="2" t="s">
        <v>154</v>
      </c>
      <c r="E429" s="4">
        <v>2024</v>
      </c>
      <c r="F429" s="4" t="str">
        <f>VLOOKUP(I429,'Трансп. каталог'!$F$3:$I$743,2,0)</f>
        <v>не позднее 28.12.2024</v>
      </c>
      <c r="G429" s="67" t="str">
        <f>VLOOKUP(I429,'Трансп. каталог'!$F$3:$I$743,3,0)</f>
        <v>с 10 по 25 января после отчетного периода</v>
      </c>
      <c r="H429" s="24" t="s">
        <v>392</v>
      </c>
      <c r="I429" s="25" t="str">
        <f t="shared" si="7"/>
        <v>061505601012024</v>
      </c>
      <c r="J429" s="110" t="s">
        <v>642</v>
      </c>
      <c r="K429" s="110" t="s">
        <v>653</v>
      </c>
      <c r="L429" s="110" t="s">
        <v>621</v>
      </c>
      <c r="M429" s="104" t="s">
        <v>653</v>
      </c>
      <c r="N429" s="105" t="s">
        <v>666</v>
      </c>
      <c r="O429" s="105" t="s">
        <v>522</v>
      </c>
      <c r="P429" s="4" t="s">
        <v>152</v>
      </c>
      <c r="Q429" s="4"/>
      <c r="R429" s="71">
        <f>VLOOKUP(I429,'Трансп. каталог'!$F$3:$I$743,4,0)</f>
        <v>0</v>
      </c>
    </row>
    <row r="430" spans="1:18" hidden="1" x14ac:dyDescent="0.2">
      <c r="A430" s="24" t="s">
        <v>155</v>
      </c>
      <c r="B430" s="5" t="s">
        <v>2</v>
      </c>
      <c r="C430" s="5" t="s">
        <v>30</v>
      </c>
      <c r="D430" s="2" t="s">
        <v>156</v>
      </c>
      <c r="E430" s="4">
        <v>2024</v>
      </c>
      <c r="F430" s="4" t="str">
        <f>VLOOKUP(I430,'Трансп. каталог'!$F$3:$I$743,2,0)</f>
        <v>не позднее 28.12.2024</v>
      </c>
      <c r="G430" s="67" t="str">
        <f>VLOOKUP(I430,'Трансп. каталог'!$F$3:$I$743,3,0)</f>
        <v>с 10 по 15 февраля после отчетного периода</v>
      </c>
      <c r="H430" s="24" t="s">
        <v>392</v>
      </c>
      <c r="I430" s="25" t="str">
        <f t="shared" si="7"/>
        <v>061506801012024</v>
      </c>
      <c r="J430" s="110" t="s">
        <v>685</v>
      </c>
      <c r="K430" s="110" t="s">
        <v>653</v>
      </c>
      <c r="L430" s="110" t="s">
        <v>498</v>
      </c>
      <c r="M430" s="104" t="s">
        <v>653</v>
      </c>
      <c r="N430" s="105" t="s">
        <v>520</v>
      </c>
      <c r="O430" s="105" t="s">
        <v>510</v>
      </c>
      <c r="P430" s="4" t="s">
        <v>152</v>
      </c>
      <c r="Q430" s="4"/>
      <c r="R430" s="71">
        <f>VLOOKUP(I430,'Трансп. каталог'!$F$3:$I$743,4,0)</f>
        <v>0</v>
      </c>
    </row>
    <row r="431" spans="1:18" hidden="1" x14ac:dyDescent="0.2">
      <c r="A431" s="24" t="s">
        <v>104</v>
      </c>
      <c r="B431" s="5" t="s">
        <v>12</v>
      </c>
      <c r="C431" s="5" t="s">
        <v>30</v>
      </c>
      <c r="D431" s="2" t="s">
        <v>105</v>
      </c>
      <c r="E431" s="4" t="s">
        <v>446</v>
      </c>
      <c r="F431" s="4" t="str">
        <f>VLOOKUP(I431,'Трансп. каталог'!$F$3:$I$743,2,0)</f>
        <v>не позднее 28.12.2024</v>
      </c>
      <c r="G431" s="67">
        <f>VLOOKUP(I431,'Трансп. каталог'!$F$3:$I$743,3,0)</f>
        <v>0</v>
      </c>
      <c r="H431" s="24" t="s">
        <v>447</v>
      </c>
      <c r="I431" s="25" t="str">
        <f t="shared" si="7"/>
        <v>061506904012025</v>
      </c>
      <c r="J431" s="110" t="s">
        <v>405</v>
      </c>
      <c r="K431" s="110" t="s">
        <v>520</v>
      </c>
      <c r="L431" s="110" t="s">
        <v>511</v>
      </c>
      <c r="M431" s="138" t="s">
        <v>1401</v>
      </c>
      <c r="N431" s="138" t="s">
        <v>1401</v>
      </c>
      <c r="O431" s="138" t="s">
        <v>1401</v>
      </c>
      <c r="P431" s="4" t="s">
        <v>106</v>
      </c>
      <c r="Q431" s="4" t="s">
        <v>10</v>
      </c>
      <c r="R431" s="71" t="s">
        <v>1406</v>
      </c>
    </row>
    <row r="432" spans="1:18" hidden="1" x14ac:dyDescent="0.2">
      <c r="A432" s="24" t="s">
        <v>104</v>
      </c>
      <c r="B432" s="5" t="s">
        <v>12</v>
      </c>
      <c r="C432" s="5" t="s">
        <v>30</v>
      </c>
      <c r="D432" s="2" t="s">
        <v>105</v>
      </c>
      <c r="E432" s="4" t="s">
        <v>449</v>
      </c>
      <c r="F432" s="4" t="str">
        <f>VLOOKUP(I432,'Трансп. каталог'!$F$3:$I$743,2,0)</f>
        <v>не позднее 04.04.2025</v>
      </c>
      <c r="G432" s="67">
        <f>VLOOKUP(I432,'Трансп. каталог'!$F$3:$I$743,3,0)</f>
        <v>0</v>
      </c>
      <c r="H432" s="24" t="s">
        <v>450</v>
      </c>
      <c r="I432" s="25" t="str">
        <f t="shared" si="7"/>
        <v>061506904022025</v>
      </c>
      <c r="J432" s="110" t="s">
        <v>417</v>
      </c>
      <c r="K432" s="110" t="s">
        <v>603</v>
      </c>
      <c r="L432" s="110" t="s">
        <v>513</v>
      </c>
      <c r="M432" s="138" t="s">
        <v>1401</v>
      </c>
      <c r="N432" s="138" t="s">
        <v>1401</v>
      </c>
      <c r="O432" s="138" t="s">
        <v>1401</v>
      </c>
      <c r="P432" s="4" t="s">
        <v>106</v>
      </c>
      <c r="Q432" s="4" t="s">
        <v>10</v>
      </c>
      <c r="R432" s="71" t="s">
        <v>1406</v>
      </c>
    </row>
    <row r="433" spans="1:18" hidden="1" x14ac:dyDescent="0.2">
      <c r="A433" s="24" t="s">
        <v>104</v>
      </c>
      <c r="B433" s="5" t="s">
        <v>12</v>
      </c>
      <c r="C433" s="5" t="s">
        <v>30</v>
      </c>
      <c r="D433" s="2" t="s">
        <v>105</v>
      </c>
      <c r="E433" s="4" t="s">
        <v>452</v>
      </c>
      <c r="F433" s="4" t="str">
        <f>VLOOKUP(I433,'Трансп. каталог'!$F$3:$I$743,2,0)</f>
        <v>не позднее 04.07.2025</v>
      </c>
      <c r="G433" s="67">
        <f>VLOOKUP(I433,'Трансп. каталог'!$F$3:$I$743,3,0)</f>
        <v>0</v>
      </c>
      <c r="H433" s="24" t="s">
        <v>453</v>
      </c>
      <c r="I433" s="25" t="str">
        <f t="shared" si="7"/>
        <v>061506904032025</v>
      </c>
      <c r="J433" s="43" t="s">
        <v>429</v>
      </c>
      <c r="K433" s="43" t="s">
        <v>422</v>
      </c>
      <c r="L433" s="43" t="s">
        <v>516</v>
      </c>
      <c r="M433" s="158" t="s">
        <v>1401</v>
      </c>
      <c r="N433" s="158" t="s">
        <v>1401</v>
      </c>
      <c r="O433" s="158" t="s">
        <v>1401</v>
      </c>
      <c r="P433" s="4" t="s">
        <v>106</v>
      </c>
      <c r="Q433" s="4" t="s">
        <v>10</v>
      </c>
      <c r="R433" s="71" t="s">
        <v>1406</v>
      </c>
    </row>
    <row r="434" spans="1:18" hidden="1" x14ac:dyDescent="0.2">
      <c r="A434" s="24" t="s">
        <v>104</v>
      </c>
      <c r="B434" s="5" t="s">
        <v>12</v>
      </c>
      <c r="C434" s="5" t="s">
        <v>30</v>
      </c>
      <c r="D434" s="2" t="s">
        <v>105</v>
      </c>
      <c r="E434" s="4" t="s">
        <v>456</v>
      </c>
      <c r="F434" s="4" t="str">
        <f>VLOOKUP(I434,'Трансп. каталог'!$F$3:$I$743,2,0)</f>
        <v>не позднее 03.10.2025</v>
      </c>
      <c r="G434" s="67">
        <f>VLOOKUP(I434,'Трансп. каталог'!$F$3:$I$743,3,0)</f>
        <v>0</v>
      </c>
      <c r="H434" s="24" t="s">
        <v>457</v>
      </c>
      <c r="I434" s="25" t="str">
        <f t="shared" si="7"/>
        <v>061506904042025</v>
      </c>
      <c r="J434" s="43" t="s">
        <v>1376</v>
      </c>
      <c r="K434" s="43" t="s">
        <v>604</v>
      </c>
      <c r="L434" s="43" t="s">
        <v>507</v>
      </c>
      <c r="M434" s="158" t="s">
        <v>1401</v>
      </c>
      <c r="N434" s="158" t="s">
        <v>1401</v>
      </c>
      <c r="O434" s="158" t="s">
        <v>1401</v>
      </c>
      <c r="P434" s="4" t="s">
        <v>106</v>
      </c>
      <c r="Q434" s="4" t="s">
        <v>10</v>
      </c>
      <c r="R434" s="71" t="s">
        <v>1406</v>
      </c>
    </row>
    <row r="435" spans="1:18" hidden="1" x14ac:dyDescent="0.2">
      <c r="A435" s="24" t="s">
        <v>137</v>
      </c>
      <c r="B435" s="5" t="s">
        <v>2</v>
      </c>
      <c r="C435" s="5" t="s">
        <v>30</v>
      </c>
      <c r="D435" s="4" t="s">
        <v>138</v>
      </c>
      <c r="E435" s="4">
        <v>2024</v>
      </c>
      <c r="F435" s="4" t="str">
        <f>VLOOKUP(I435,'Трансп. каталог'!$F$3:$I$743,2,0)</f>
        <v xml:space="preserve">
не позднее  28.12.2024</v>
      </c>
      <c r="G435" s="67" t="str">
        <f>VLOOKUP(I435,'Трансп. каталог'!$F$3:$I$743,3,0)</f>
        <v>с 10 по 25 января</v>
      </c>
      <c r="H435" s="24" t="s">
        <v>392</v>
      </c>
      <c r="I435" s="25" t="str">
        <f t="shared" si="7"/>
        <v>061507101012024</v>
      </c>
      <c r="J435" s="110" t="s">
        <v>642</v>
      </c>
      <c r="K435" s="110" t="s">
        <v>543</v>
      </c>
      <c r="L435" s="110" t="s">
        <v>591</v>
      </c>
      <c r="M435" s="104" t="s">
        <v>543</v>
      </c>
      <c r="N435" s="105" t="s">
        <v>666</v>
      </c>
      <c r="O435" s="105" t="s">
        <v>522</v>
      </c>
      <c r="P435" s="4" t="s">
        <v>139</v>
      </c>
      <c r="Q435" s="4"/>
      <c r="R435" s="71">
        <f>VLOOKUP(I435,'Трансп. каталог'!$F$3:$I$743,4,0)</f>
        <v>0</v>
      </c>
    </row>
    <row r="436" spans="1:18" hidden="1" x14ac:dyDescent="0.2">
      <c r="A436" s="24" t="s">
        <v>157</v>
      </c>
      <c r="B436" s="5" t="s">
        <v>2</v>
      </c>
      <c r="C436" s="5" t="s">
        <v>30</v>
      </c>
      <c r="D436" s="4" t="s">
        <v>158</v>
      </c>
      <c r="E436" s="4" t="s">
        <v>395</v>
      </c>
      <c r="F436" s="4" t="str">
        <f>VLOOKUP(I436,'Трансп. каталог'!$F$3:$I$743,2,0)</f>
        <v xml:space="preserve">
не позднее 29.01.2025</v>
      </c>
      <c r="G436" s="67">
        <f>VLOOKUP(I436,'Трансп. каталог'!$F$3:$I$743,3,0)</f>
        <v>0</v>
      </c>
      <c r="H436" s="24" t="s">
        <v>396</v>
      </c>
      <c r="I436" s="25" t="str">
        <f t="shared" si="7"/>
        <v>061510312012025</v>
      </c>
      <c r="J436" s="110" t="s">
        <v>509</v>
      </c>
      <c r="K436" s="110" t="s">
        <v>619</v>
      </c>
      <c r="L436" s="110" t="s">
        <v>463</v>
      </c>
      <c r="M436" s="139">
        <v>45688</v>
      </c>
      <c r="N436" s="139">
        <v>45688</v>
      </c>
      <c r="O436" s="139">
        <v>45688</v>
      </c>
      <c r="P436" s="4" t="s">
        <v>152</v>
      </c>
      <c r="Q436" s="4" t="s">
        <v>6</v>
      </c>
      <c r="R436" s="71">
        <f>VLOOKUP(I436,'Трансп. каталог'!$F$3:$I$743,4,0)</f>
        <v>0</v>
      </c>
    </row>
    <row r="437" spans="1:18" hidden="1" x14ac:dyDescent="0.2">
      <c r="A437" s="24" t="s">
        <v>157</v>
      </c>
      <c r="B437" s="5" t="s">
        <v>2</v>
      </c>
      <c r="C437" s="5" t="s">
        <v>30</v>
      </c>
      <c r="D437" s="4" t="s">
        <v>158</v>
      </c>
      <c r="E437" s="4" t="s">
        <v>399</v>
      </c>
      <c r="F437" s="4" t="str">
        <f>VLOOKUP(I437,'Трансп. каталог'!$F$3:$I$743,2,0)</f>
        <v>не позднее 27.02.2025</v>
      </c>
      <c r="G437" s="67">
        <f>VLOOKUP(I437,'Трансп. каталог'!$F$3:$I$743,3,0)</f>
        <v>0</v>
      </c>
      <c r="H437" s="24" t="s">
        <v>400</v>
      </c>
      <c r="I437" s="25" t="str">
        <f t="shared" si="7"/>
        <v>061510312022025</v>
      </c>
      <c r="J437" s="110" t="s">
        <v>670</v>
      </c>
      <c r="K437" s="110" t="s">
        <v>621</v>
      </c>
      <c r="L437" s="110" t="s">
        <v>605</v>
      </c>
      <c r="M437" s="105" t="s">
        <v>401</v>
      </c>
      <c r="N437" s="105" t="s">
        <v>401</v>
      </c>
      <c r="O437" s="105" t="s">
        <v>401</v>
      </c>
      <c r="P437" s="4" t="s">
        <v>152</v>
      </c>
      <c r="Q437" s="4" t="s">
        <v>6</v>
      </c>
      <c r="R437" s="71">
        <f>VLOOKUP(I437,'Трансп. каталог'!$F$3:$I$743,4,0)</f>
        <v>0</v>
      </c>
    </row>
    <row r="438" spans="1:18" hidden="1" x14ac:dyDescent="0.2">
      <c r="A438" s="24" t="s">
        <v>157</v>
      </c>
      <c r="B438" s="5" t="s">
        <v>2</v>
      </c>
      <c r="C438" s="5" t="s">
        <v>30</v>
      </c>
      <c r="D438" s="4" t="s">
        <v>158</v>
      </c>
      <c r="E438" s="4" t="s">
        <v>403</v>
      </c>
      <c r="F438" s="4" t="str">
        <f>VLOOKUP(I438,'Трансп. каталог'!$F$3:$I$743,2,0)</f>
        <v>не позднее 28.03.2025</v>
      </c>
      <c r="G438" s="67">
        <f>VLOOKUP(I438,'Трансп. каталог'!$F$3:$I$743,3,0)</f>
        <v>0</v>
      </c>
      <c r="H438" s="24" t="s">
        <v>404</v>
      </c>
      <c r="I438" s="25" t="str">
        <f t="shared" si="7"/>
        <v>061510312032025</v>
      </c>
      <c r="J438" s="110" t="s">
        <v>710</v>
      </c>
      <c r="K438" s="110" t="s">
        <v>393</v>
      </c>
      <c r="L438" s="110" t="s">
        <v>654</v>
      </c>
      <c r="M438" s="208">
        <v>45748</v>
      </c>
      <c r="N438" s="209" t="s">
        <v>405</v>
      </c>
      <c r="O438" s="209" t="s">
        <v>406</v>
      </c>
      <c r="P438" s="4" t="s">
        <v>152</v>
      </c>
      <c r="Q438" s="4" t="s">
        <v>6</v>
      </c>
      <c r="R438" s="71">
        <f>VLOOKUP(I438,'Трансп. каталог'!$F$3:$I$743,4,0)</f>
        <v>0</v>
      </c>
    </row>
    <row r="439" spans="1:18" hidden="1" x14ac:dyDescent="0.2">
      <c r="A439" s="24" t="s">
        <v>157</v>
      </c>
      <c r="B439" s="5" t="s">
        <v>2</v>
      </c>
      <c r="C439" s="5" t="s">
        <v>30</v>
      </c>
      <c r="D439" s="4" t="s">
        <v>158</v>
      </c>
      <c r="E439" s="4" t="s">
        <v>407</v>
      </c>
      <c r="F439" s="4" t="str">
        <f>VLOOKUP(I439,'Трансп. каталог'!$F$3:$I$743,2,0)</f>
        <v xml:space="preserve">
не позднее 28.04.2025</v>
      </c>
      <c r="G439" s="67">
        <f>VLOOKUP(I439,'Трансп. каталог'!$F$3:$I$743,3,0)</f>
        <v>0</v>
      </c>
      <c r="H439" s="24" t="s">
        <v>408</v>
      </c>
      <c r="I439" s="25" t="str">
        <f t="shared" si="7"/>
        <v>061510312042025</v>
      </c>
      <c r="J439" s="110" t="s">
        <v>603</v>
      </c>
      <c r="K439" s="110" t="s">
        <v>623</v>
      </c>
      <c r="L439" s="110" t="s">
        <v>592</v>
      </c>
      <c r="M439" s="208">
        <v>45777</v>
      </c>
      <c r="N439" s="208">
        <v>45777</v>
      </c>
      <c r="O439" s="208">
        <v>45777</v>
      </c>
      <c r="P439" s="4" t="s">
        <v>152</v>
      </c>
      <c r="Q439" s="4" t="s">
        <v>6</v>
      </c>
      <c r="R439" s="71">
        <f>VLOOKUP(I439,'Трансп. каталог'!$F$3:$I$743,4,0)</f>
        <v>0</v>
      </c>
    </row>
    <row r="440" spans="1:18" hidden="1" x14ac:dyDescent="0.2">
      <c r="A440" s="24" t="s">
        <v>157</v>
      </c>
      <c r="B440" s="5" t="s">
        <v>2</v>
      </c>
      <c r="C440" s="5" t="s">
        <v>30</v>
      </c>
      <c r="D440" s="4" t="s">
        <v>158</v>
      </c>
      <c r="E440" s="4" t="s">
        <v>411</v>
      </c>
      <c r="F440" s="4" t="str">
        <f>VLOOKUP(I440,'Трансп. каталог'!$F$3:$I$743,2,0)</f>
        <v xml:space="preserve">
не позднее 27.05.2025</v>
      </c>
      <c r="G440" s="67">
        <f>VLOOKUP(I440,'Трансп. каталог'!$F$3:$I$743,3,0)</f>
        <v>0</v>
      </c>
      <c r="H440" s="24" t="s">
        <v>412</v>
      </c>
      <c r="I440" s="25" t="str">
        <f t="shared" si="7"/>
        <v>061510312052025</v>
      </c>
      <c r="J440" s="110" t="s">
        <v>414</v>
      </c>
      <c r="K440" s="110" t="s">
        <v>646</v>
      </c>
      <c r="L440" s="110" t="s">
        <v>512</v>
      </c>
      <c r="M440" s="139">
        <v>45810</v>
      </c>
      <c r="N440" s="170">
        <v>45810</v>
      </c>
      <c r="O440" s="170">
        <v>45810</v>
      </c>
      <c r="P440" s="4" t="s">
        <v>152</v>
      </c>
      <c r="Q440" s="4" t="s">
        <v>6</v>
      </c>
      <c r="R440" s="71">
        <f>VLOOKUP(I440,'Трансп. каталог'!$F$3:$I$743,4,0)</f>
        <v>0</v>
      </c>
    </row>
    <row r="441" spans="1:18" hidden="1" x14ac:dyDescent="0.2">
      <c r="A441" s="24" t="s">
        <v>157</v>
      </c>
      <c r="B441" s="5" t="s">
        <v>2</v>
      </c>
      <c r="C441" s="5" t="s">
        <v>30</v>
      </c>
      <c r="D441" s="4" t="s">
        <v>158</v>
      </c>
      <c r="E441" s="4" t="s">
        <v>415</v>
      </c>
      <c r="F441" s="4" t="str">
        <f>VLOOKUP(I441,'Трансп. каталог'!$F$3:$I$743,2,0)</f>
        <v xml:space="preserve">
не позднее 27.06.2025</v>
      </c>
      <c r="G441" s="67">
        <f>VLOOKUP(I441,'Трансп. каталог'!$F$3:$I$743,3,0)</f>
        <v>0</v>
      </c>
      <c r="H441" s="24" t="s">
        <v>416</v>
      </c>
      <c r="I441" s="25" t="str">
        <f t="shared" si="7"/>
        <v>061510312062025</v>
      </c>
      <c r="J441" s="110" t="s">
        <v>713</v>
      </c>
      <c r="K441" s="110" t="s">
        <v>483</v>
      </c>
      <c r="L441" s="110" t="s">
        <v>655</v>
      </c>
      <c r="M441" s="139" t="s">
        <v>483</v>
      </c>
      <c r="N441" s="170" t="s">
        <v>417</v>
      </c>
      <c r="O441" s="170" t="s">
        <v>418</v>
      </c>
      <c r="P441" s="4" t="s">
        <v>152</v>
      </c>
      <c r="Q441" s="4" t="s">
        <v>6</v>
      </c>
      <c r="R441" s="71">
        <f>VLOOKUP(I441,'Трансп. каталог'!$F$3:$I$743,4,0)</f>
        <v>0</v>
      </c>
    </row>
    <row r="442" spans="1:18" hidden="1" x14ac:dyDescent="0.2">
      <c r="A442" s="24" t="s">
        <v>157</v>
      </c>
      <c r="B442" s="5" t="s">
        <v>2</v>
      </c>
      <c r="C442" s="5" t="s">
        <v>30</v>
      </c>
      <c r="D442" s="4" t="s">
        <v>158</v>
      </c>
      <c r="E442" s="4" t="s">
        <v>419</v>
      </c>
      <c r="F442" s="4" t="str">
        <f>VLOOKUP(I442,'Трансп. каталог'!$F$3:$I$743,2,0)</f>
        <v xml:space="preserve">
не позднее 29.07.2025</v>
      </c>
      <c r="G442" s="67">
        <f>VLOOKUP(I442,'Трансп. каталог'!$F$3:$I$743,3,0)</f>
        <v>0</v>
      </c>
      <c r="H442" s="24" t="s">
        <v>420</v>
      </c>
      <c r="I442" s="25" t="str">
        <f t="shared" si="7"/>
        <v>061510312072025</v>
      </c>
      <c r="J442" s="43" t="s">
        <v>422</v>
      </c>
      <c r="K442" s="43" t="s">
        <v>627</v>
      </c>
      <c r="L442" s="43" t="s">
        <v>606</v>
      </c>
      <c r="M442" s="85" t="s">
        <v>627</v>
      </c>
      <c r="N442" s="90" t="s">
        <v>552</v>
      </c>
      <c r="O442" s="90" t="s">
        <v>627</v>
      </c>
      <c r="P442" s="4" t="s">
        <v>152</v>
      </c>
      <c r="Q442" s="4" t="s">
        <v>6</v>
      </c>
      <c r="R442" s="71">
        <f>VLOOKUP(I442,'Трансп. каталог'!$F$3:$I$743,4,0)</f>
        <v>0</v>
      </c>
    </row>
    <row r="443" spans="1:18" hidden="1" x14ac:dyDescent="0.2">
      <c r="A443" s="24" t="s">
        <v>157</v>
      </c>
      <c r="B443" s="5" t="s">
        <v>2</v>
      </c>
      <c r="C443" s="5" t="s">
        <v>30</v>
      </c>
      <c r="D443" s="4" t="s">
        <v>158</v>
      </c>
      <c r="E443" s="4" t="s">
        <v>423</v>
      </c>
      <c r="F443" s="4" t="str">
        <f>VLOOKUP(I443,'Трансп. каталог'!$F$3:$I$743,2,0)</f>
        <v>не позднее 29.08.2025</v>
      </c>
      <c r="G443" s="67">
        <f>VLOOKUP(I443,'Трансп. каталог'!$F$3:$I$743,3,0)</f>
        <v>0</v>
      </c>
      <c r="H443" s="24" t="s">
        <v>424</v>
      </c>
      <c r="I443" s="25" t="str">
        <f t="shared" si="7"/>
        <v>061510312082025</v>
      </c>
      <c r="J443" s="43" t="s">
        <v>714</v>
      </c>
      <c r="K443" s="43" t="s">
        <v>607</v>
      </c>
      <c r="L443" s="43" t="s">
        <v>560</v>
      </c>
      <c r="M443" s="85" t="s">
        <v>607</v>
      </c>
      <c r="N443" s="90" t="s">
        <v>581</v>
      </c>
      <c r="O443" s="90" t="s">
        <v>425</v>
      </c>
      <c r="P443" s="4" t="s">
        <v>152</v>
      </c>
      <c r="Q443" s="4" t="s">
        <v>6</v>
      </c>
      <c r="R443" s="71">
        <f>VLOOKUP(I443,'Трансп. каталог'!$F$3:$I$743,4,0)</f>
        <v>0</v>
      </c>
    </row>
    <row r="444" spans="1:18" hidden="1" x14ac:dyDescent="0.2">
      <c r="A444" s="24" t="s">
        <v>157</v>
      </c>
      <c r="B444" s="5" t="s">
        <v>2</v>
      </c>
      <c r="C444" s="5" t="s">
        <v>30</v>
      </c>
      <c r="D444" s="4" t="s">
        <v>158</v>
      </c>
      <c r="E444" s="4" t="s">
        <v>427</v>
      </c>
      <c r="F444" s="4" t="str">
        <f>VLOOKUP(I444,'Трансп. каталог'!$F$3:$I$743,2,0)</f>
        <v xml:space="preserve">
не позднее 30.09.2025</v>
      </c>
      <c r="G444" s="67">
        <f>VLOOKUP(I444,'Трансп. каталог'!$F$3:$I$743,3,0)</f>
        <v>0</v>
      </c>
      <c r="H444" s="24" t="s">
        <v>428</v>
      </c>
      <c r="I444" s="25" t="str">
        <f t="shared" si="7"/>
        <v>061510312092025</v>
      </c>
      <c r="J444" s="43" t="s">
        <v>715</v>
      </c>
      <c r="K444" s="43" t="s">
        <v>485</v>
      </c>
      <c r="L444" s="43" t="s">
        <v>555</v>
      </c>
      <c r="M444" s="85" t="s">
        <v>485</v>
      </c>
      <c r="N444" s="90" t="s">
        <v>429</v>
      </c>
      <c r="O444" s="90" t="s">
        <v>430</v>
      </c>
      <c r="P444" s="4" t="s">
        <v>152</v>
      </c>
      <c r="Q444" s="4" t="s">
        <v>6</v>
      </c>
      <c r="R444" s="71">
        <f>VLOOKUP(I444,'Трансп. каталог'!$F$3:$I$743,4,0)</f>
        <v>0</v>
      </c>
    </row>
    <row r="445" spans="1:18" hidden="1" x14ac:dyDescent="0.2">
      <c r="A445" s="24" t="s">
        <v>157</v>
      </c>
      <c r="B445" s="5" t="s">
        <v>2</v>
      </c>
      <c r="C445" s="5" t="s">
        <v>30</v>
      </c>
      <c r="D445" s="4" t="s">
        <v>158</v>
      </c>
      <c r="E445" s="4" t="s">
        <v>431</v>
      </c>
      <c r="F445" s="4" t="str">
        <f>VLOOKUP(I445,'Трансп. каталог'!$F$3:$I$743,2,0)</f>
        <v xml:space="preserve">
не позднее 28.10.2025</v>
      </c>
      <c r="G445" s="67">
        <f>VLOOKUP(I445,'Трансп. каталог'!$F$3:$I$743,3,0)</f>
        <v>0</v>
      </c>
      <c r="H445" s="24" t="s">
        <v>432</v>
      </c>
      <c r="I445" s="25" t="str">
        <f t="shared" si="7"/>
        <v>061510312102025</v>
      </c>
      <c r="J445" s="43" t="s">
        <v>434</v>
      </c>
      <c r="K445" s="43" t="s">
        <v>602</v>
      </c>
      <c r="L445" s="43" t="s">
        <v>656</v>
      </c>
      <c r="M445" s="85" t="s">
        <v>602</v>
      </c>
      <c r="N445" s="90" t="s">
        <v>556</v>
      </c>
      <c r="O445" s="90" t="s">
        <v>602</v>
      </c>
      <c r="P445" s="4" t="s">
        <v>152</v>
      </c>
      <c r="Q445" s="4" t="s">
        <v>6</v>
      </c>
      <c r="R445" s="71">
        <f>VLOOKUP(I445,'Трансп. каталог'!$F$3:$I$743,4,0)</f>
        <v>0</v>
      </c>
    </row>
    <row r="446" spans="1:18" hidden="1" x14ac:dyDescent="0.2">
      <c r="A446" s="27" t="s">
        <v>157</v>
      </c>
      <c r="B446" s="28" t="s">
        <v>2</v>
      </c>
      <c r="C446" s="28" t="s">
        <v>30</v>
      </c>
      <c r="D446" s="26" t="s">
        <v>158</v>
      </c>
      <c r="E446" s="26" t="s">
        <v>435</v>
      </c>
      <c r="F446" s="26" t="str">
        <f>VLOOKUP(I446,'Трансп. каталог'!$F$3:$I$743,2,0)</f>
        <v>не позднее 28.11.2025</v>
      </c>
      <c r="G446" s="68">
        <f>VLOOKUP(I446,'Трансп. каталог'!$F$3:$I$743,3,0)</f>
        <v>0</v>
      </c>
      <c r="H446" s="27" t="s">
        <v>436</v>
      </c>
      <c r="I446" s="29" t="str">
        <f t="shared" si="7"/>
        <v>061510312112025</v>
      </c>
      <c r="J446" s="44" t="s">
        <v>716</v>
      </c>
      <c r="K446" s="44" t="s">
        <v>608</v>
      </c>
      <c r="L446" s="44" t="s">
        <v>563</v>
      </c>
      <c r="M446" s="85" t="s">
        <v>608</v>
      </c>
      <c r="N446" s="90" t="s">
        <v>583</v>
      </c>
      <c r="O446" s="90" t="s">
        <v>437</v>
      </c>
      <c r="P446" s="26" t="s">
        <v>152</v>
      </c>
      <c r="Q446" s="26" t="s">
        <v>6</v>
      </c>
      <c r="R446" s="71">
        <f>VLOOKUP(I446,'Трансп. каталог'!$F$3:$I$743,4,0)</f>
        <v>0</v>
      </c>
    </row>
    <row r="447" spans="1:18" hidden="1" x14ac:dyDescent="0.2">
      <c r="A447" s="15" t="s">
        <v>159</v>
      </c>
      <c r="B447" s="16" t="s">
        <v>2</v>
      </c>
      <c r="C447" s="16" t="s">
        <v>30</v>
      </c>
      <c r="D447" s="14" t="s">
        <v>160</v>
      </c>
      <c r="E447" s="14" t="s">
        <v>446</v>
      </c>
      <c r="F447" s="14" t="str">
        <f>VLOOKUP(I447,'Трансп. каталог'!$F$3:$I$743,2,0)</f>
        <v>не позднее 28.03.2025</v>
      </c>
      <c r="G447" s="64">
        <f>VLOOKUP(I447,'Трансп. каталог'!$F$3:$I$743,3,0)</f>
        <v>0</v>
      </c>
      <c r="H447" s="15" t="s">
        <v>447</v>
      </c>
      <c r="I447" s="17" t="str">
        <f t="shared" si="7"/>
        <v>061513904012025</v>
      </c>
      <c r="J447" s="190">
        <v>45772</v>
      </c>
      <c r="K447" s="92" t="s">
        <v>393</v>
      </c>
      <c r="L447" s="92" t="s">
        <v>461</v>
      </c>
      <c r="M447" s="161" t="s">
        <v>393</v>
      </c>
      <c r="N447" s="169" t="s">
        <v>1401</v>
      </c>
      <c r="O447" s="169" t="s">
        <v>1401</v>
      </c>
      <c r="P447" s="14" t="s">
        <v>106</v>
      </c>
      <c r="Q447" s="14"/>
      <c r="R447" s="73" t="s">
        <v>1423</v>
      </c>
    </row>
    <row r="448" spans="1:18" hidden="1" x14ac:dyDescent="0.2">
      <c r="A448" s="15" t="s">
        <v>159</v>
      </c>
      <c r="B448" s="16" t="s">
        <v>2</v>
      </c>
      <c r="C448" s="16" t="s">
        <v>30</v>
      </c>
      <c r="D448" s="14" t="s">
        <v>160</v>
      </c>
      <c r="E448" s="14" t="s">
        <v>449</v>
      </c>
      <c r="F448" s="14" t="str">
        <f>VLOOKUP(I448,'Трансп. каталог'!$F$3:$I$743,2,0)</f>
        <v>не позднее 27.06.2025</v>
      </c>
      <c r="G448" s="64">
        <f>VLOOKUP(I448,'Трансп. каталог'!$F$3:$I$743,3,0)</f>
        <v>0</v>
      </c>
      <c r="H448" s="15" t="s">
        <v>450</v>
      </c>
      <c r="I448" s="17" t="str">
        <f t="shared" si="7"/>
        <v>061513904022025</v>
      </c>
      <c r="J448" s="190">
        <v>45852</v>
      </c>
      <c r="K448" s="92" t="s">
        <v>483</v>
      </c>
      <c r="L448" s="92" t="s">
        <v>615</v>
      </c>
      <c r="M448" s="161" t="s">
        <v>483</v>
      </c>
      <c r="N448" s="169"/>
      <c r="O448" s="169"/>
      <c r="P448" s="14" t="s">
        <v>106</v>
      </c>
      <c r="Q448" s="14"/>
      <c r="R448" s="73" t="s">
        <v>1423</v>
      </c>
    </row>
    <row r="449" spans="1:18" hidden="1" x14ac:dyDescent="0.2">
      <c r="A449" s="18" t="s">
        <v>159</v>
      </c>
      <c r="B449" s="3" t="s">
        <v>2</v>
      </c>
      <c r="C449" s="3" t="s">
        <v>30</v>
      </c>
      <c r="D449" s="2" t="s">
        <v>160</v>
      </c>
      <c r="E449" s="2" t="s">
        <v>452</v>
      </c>
      <c r="F449" s="2" t="str">
        <f>VLOOKUP(I449,'Трансп. каталог'!$F$3:$I$743,2,0)</f>
        <v>не позднее 30.09.2025</v>
      </c>
      <c r="G449" s="65">
        <f>VLOOKUP(I449,'Трансп. каталог'!$F$3:$I$743,3,0)</f>
        <v>0</v>
      </c>
      <c r="H449" s="18" t="s">
        <v>453</v>
      </c>
      <c r="I449" s="19" t="str">
        <f t="shared" si="7"/>
        <v>061513904032025</v>
      </c>
      <c r="J449" s="185">
        <v>45944</v>
      </c>
      <c r="K449" s="41" t="s">
        <v>485</v>
      </c>
      <c r="L449" s="41" t="s">
        <v>616</v>
      </c>
      <c r="M449" s="183" t="s">
        <v>485</v>
      </c>
      <c r="N449" s="83"/>
      <c r="O449" s="83"/>
      <c r="P449" s="2" t="s">
        <v>106</v>
      </c>
      <c r="Q449" s="2"/>
      <c r="R449" s="73" t="s">
        <v>1423</v>
      </c>
    </row>
    <row r="450" spans="1:18" hidden="1" x14ac:dyDescent="0.2">
      <c r="A450" s="21" t="s">
        <v>159</v>
      </c>
      <c r="B450" s="22" t="s">
        <v>2</v>
      </c>
      <c r="C450" s="22" t="s">
        <v>30</v>
      </c>
      <c r="D450" s="20" t="s">
        <v>160</v>
      </c>
      <c r="E450" s="20" t="s">
        <v>456</v>
      </c>
      <c r="F450" s="20" t="str">
        <f>VLOOKUP(I450,'Трансп. каталог'!$F$3:$I$743,2,0)</f>
        <v>не позднее 30.12.2025</v>
      </c>
      <c r="G450" s="66">
        <f>VLOOKUP(I450,'Трансп. каталог'!$F$3:$I$743,3,0)</f>
        <v>0</v>
      </c>
      <c r="H450" s="21" t="s">
        <v>457</v>
      </c>
      <c r="I450" s="23" t="str">
        <f t="shared" si="7"/>
        <v>061513904042025</v>
      </c>
      <c r="J450" s="154">
        <v>46044</v>
      </c>
      <c r="K450" s="42" t="s">
        <v>481</v>
      </c>
      <c r="L450" s="42" t="s">
        <v>657</v>
      </c>
      <c r="M450" s="184" t="s">
        <v>481</v>
      </c>
      <c r="N450" s="84"/>
      <c r="O450" s="84"/>
      <c r="P450" s="20" t="s">
        <v>106</v>
      </c>
      <c r="Q450" s="20"/>
      <c r="R450" s="73" t="s">
        <v>1423</v>
      </c>
    </row>
    <row r="451" spans="1:18" hidden="1" x14ac:dyDescent="0.2">
      <c r="A451" s="24" t="s">
        <v>72</v>
      </c>
      <c r="B451" s="5" t="s">
        <v>2</v>
      </c>
      <c r="C451" s="5" t="s">
        <v>30</v>
      </c>
      <c r="D451" s="4" t="s">
        <v>73</v>
      </c>
      <c r="E451" s="4">
        <v>2024</v>
      </c>
      <c r="F451" s="4" t="e">
        <f>VLOOKUP(I451,'Трансп. каталог'!$F$3:$I$743,2,0)</f>
        <v>#N/A</v>
      </c>
      <c r="G451" s="67" t="e">
        <f>VLOOKUP(I451,'Трансп. каталог'!$F$3:$I$743,3,0)</f>
        <v>#N/A</v>
      </c>
      <c r="H451" s="24" t="s">
        <v>392</v>
      </c>
      <c r="I451" s="25" t="str">
        <f t="shared" si="7"/>
        <v>061600101012024</v>
      </c>
      <c r="J451" s="146" t="s">
        <v>670</v>
      </c>
      <c r="K451" s="146" t="s">
        <v>509</v>
      </c>
      <c r="L451" s="146" t="s">
        <v>469</v>
      </c>
      <c r="M451" s="104" t="s">
        <v>509</v>
      </c>
      <c r="N451" s="105" t="s">
        <v>471</v>
      </c>
      <c r="O451" s="105" t="s">
        <v>401</v>
      </c>
      <c r="P451" s="4" t="s">
        <v>74</v>
      </c>
      <c r="Q451" s="4"/>
      <c r="R451" s="71"/>
    </row>
    <row r="452" spans="1:18" hidden="1" x14ac:dyDescent="0.2">
      <c r="A452" s="27" t="s">
        <v>75</v>
      </c>
      <c r="B452" s="28" t="s">
        <v>2</v>
      </c>
      <c r="C452" s="28" t="s">
        <v>30</v>
      </c>
      <c r="D452" s="26" t="s">
        <v>1240</v>
      </c>
      <c r="E452" s="26" t="s">
        <v>395</v>
      </c>
      <c r="F452" s="26" t="str">
        <f>VLOOKUP(I452,'Трансп. каталог'!$F$3:$I$743,2,0)</f>
        <v>27.12.2024</v>
      </c>
      <c r="G452" s="68">
        <f>VLOOKUP(I452,'Трансп. каталог'!$F$3:$I$743,3,0)</f>
        <v>0</v>
      </c>
      <c r="H452" s="27" t="s">
        <v>396</v>
      </c>
      <c r="I452" s="29" t="str">
        <f t="shared" si="7"/>
        <v>061600412012025</v>
      </c>
      <c r="J452" s="141" t="s">
        <v>678</v>
      </c>
      <c r="K452" s="141" t="s">
        <v>464</v>
      </c>
      <c r="L452" s="141" t="s">
        <v>397</v>
      </c>
      <c r="M452" s="106" t="s">
        <v>464</v>
      </c>
      <c r="N452" s="107" t="s">
        <v>666</v>
      </c>
      <c r="O452" s="107" t="s">
        <v>522</v>
      </c>
      <c r="P452" s="26" t="s">
        <v>74</v>
      </c>
      <c r="Q452" s="26"/>
      <c r="R452" s="72">
        <f>VLOOKUP(I452,'Трансп. каталог'!$F$3:$I$743,4,0)</f>
        <v>0</v>
      </c>
    </row>
    <row r="453" spans="1:18" hidden="1" x14ac:dyDescent="0.2">
      <c r="A453" s="15" t="s">
        <v>75</v>
      </c>
      <c r="B453" s="16" t="s">
        <v>2</v>
      </c>
      <c r="C453" s="16" t="s">
        <v>30</v>
      </c>
      <c r="D453" s="14" t="s">
        <v>1240</v>
      </c>
      <c r="E453" s="14" t="s">
        <v>399</v>
      </c>
      <c r="F453" s="14"/>
      <c r="G453" s="64"/>
      <c r="H453" s="15" t="s">
        <v>400</v>
      </c>
      <c r="I453" s="17" t="str">
        <f t="shared" si="7"/>
        <v>061600412022025</v>
      </c>
      <c r="J453" s="108" t="s">
        <v>524</v>
      </c>
      <c r="K453" s="108" t="s">
        <v>510</v>
      </c>
      <c r="L453" s="108" t="s">
        <v>401</v>
      </c>
      <c r="M453" s="96" t="s">
        <v>510</v>
      </c>
      <c r="N453" s="97" t="s">
        <v>669</v>
      </c>
      <c r="O453" s="97" t="s">
        <v>610</v>
      </c>
      <c r="P453" s="14" t="s">
        <v>74</v>
      </c>
      <c r="Q453" s="14"/>
      <c r="R453" s="73" t="s">
        <v>1402</v>
      </c>
    </row>
    <row r="454" spans="1:18" hidden="1" x14ac:dyDescent="0.2">
      <c r="A454" s="18" t="s">
        <v>75</v>
      </c>
      <c r="B454" s="3" t="s">
        <v>2</v>
      </c>
      <c r="C454" s="3" t="s">
        <v>30</v>
      </c>
      <c r="D454" s="2" t="s">
        <v>1240</v>
      </c>
      <c r="E454" s="2" t="s">
        <v>403</v>
      </c>
      <c r="F454" s="2"/>
      <c r="G454" s="65"/>
      <c r="H454" s="18" t="s">
        <v>404</v>
      </c>
      <c r="I454" s="19" t="str">
        <f t="shared" si="7"/>
        <v>061600412032025</v>
      </c>
      <c r="J454" s="93" t="s">
        <v>526</v>
      </c>
      <c r="K454" s="93" t="s">
        <v>495</v>
      </c>
      <c r="L454" s="93" t="s">
        <v>405</v>
      </c>
      <c r="M454" s="99" t="s">
        <v>495</v>
      </c>
      <c r="N454" s="95" t="s">
        <v>586</v>
      </c>
      <c r="O454" s="95" t="s">
        <v>493</v>
      </c>
      <c r="P454" s="2" t="s">
        <v>74</v>
      </c>
      <c r="Q454" s="2"/>
      <c r="R454" s="74" t="s">
        <v>1402</v>
      </c>
    </row>
    <row r="455" spans="1:18" hidden="1" x14ac:dyDescent="0.2">
      <c r="A455" s="21" t="s">
        <v>75</v>
      </c>
      <c r="B455" s="22" t="s">
        <v>2</v>
      </c>
      <c r="C455" s="22" t="s">
        <v>30</v>
      </c>
      <c r="D455" s="20" t="s">
        <v>1240</v>
      </c>
      <c r="E455" s="20" t="s">
        <v>407</v>
      </c>
      <c r="F455" s="20"/>
      <c r="G455" s="66"/>
      <c r="H455" s="21" t="s">
        <v>408</v>
      </c>
      <c r="I455" s="23" t="str">
        <f t="shared" si="7"/>
        <v>061600412042025</v>
      </c>
      <c r="J455" s="94" t="s">
        <v>528</v>
      </c>
      <c r="K455" s="94" t="s">
        <v>511</v>
      </c>
      <c r="L455" s="94" t="s">
        <v>409</v>
      </c>
      <c r="M455" s="99" t="s">
        <v>511</v>
      </c>
      <c r="N455" s="95" t="s">
        <v>1372</v>
      </c>
      <c r="O455" s="95" t="s">
        <v>448</v>
      </c>
      <c r="P455" s="20" t="s">
        <v>74</v>
      </c>
      <c r="Q455" s="20"/>
      <c r="R455" s="75" t="s">
        <v>1402</v>
      </c>
    </row>
    <row r="456" spans="1:18" hidden="1" x14ac:dyDescent="0.2">
      <c r="A456" s="24" t="s">
        <v>75</v>
      </c>
      <c r="B456" s="5" t="s">
        <v>2</v>
      </c>
      <c r="C456" s="5" t="s">
        <v>30</v>
      </c>
      <c r="D456" s="4" t="s">
        <v>1240</v>
      </c>
      <c r="E456" s="4" t="s">
        <v>411</v>
      </c>
      <c r="F456" s="4"/>
      <c r="G456" s="67"/>
      <c r="H456" s="24" t="s">
        <v>412</v>
      </c>
      <c r="I456" s="25" t="str">
        <f t="shared" si="7"/>
        <v>061600412052025</v>
      </c>
      <c r="J456" s="110" t="s">
        <v>394</v>
      </c>
      <c r="K456" s="110" t="s">
        <v>500</v>
      </c>
      <c r="L456" s="110" t="s">
        <v>413</v>
      </c>
      <c r="M456" s="85" t="s">
        <v>500</v>
      </c>
      <c r="N456" s="90" t="s">
        <v>698</v>
      </c>
      <c r="O456" s="90" t="s">
        <v>530</v>
      </c>
      <c r="P456" s="4" t="s">
        <v>74</v>
      </c>
      <c r="Q456" s="4"/>
      <c r="R456" s="71" t="s">
        <v>1402</v>
      </c>
    </row>
    <row r="457" spans="1:18" hidden="1" x14ac:dyDescent="0.2">
      <c r="A457" s="24" t="s">
        <v>75</v>
      </c>
      <c r="B457" s="5" t="s">
        <v>2</v>
      </c>
      <c r="C457" s="5" t="s">
        <v>30</v>
      </c>
      <c r="D457" s="4" t="s">
        <v>1240</v>
      </c>
      <c r="E457" s="4" t="s">
        <v>415</v>
      </c>
      <c r="F457" s="4"/>
      <c r="G457" s="67"/>
      <c r="H457" s="24" t="s">
        <v>416</v>
      </c>
      <c r="I457" s="25" t="str">
        <f t="shared" si="7"/>
        <v>061600412062025</v>
      </c>
      <c r="J457" s="110" t="s">
        <v>532</v>
      </c>
      <c r="K457" s="110" t="s">
        <v>512</v>
      </c>
      <c r="L457" s="110" t="s">
        <v>417</v>
      </c>
      <c r="M457" s="85" t="s">
        <v>512</v>
      </c>
      <c r="N457" s="90" t="s">
        <v>531</v>
      </c>
      <c r="O457" s="90" t="s">
        <v>571</v>
      </c>
      <c r="P457" s="4" t="s">
        <v>74</v>
      </c>
      <c r="Q457" s="4"/>
      <c r="R457" s="71" t="s">
        <v>1402</v>
      </c>
    </row>
    <row r="458" spans="1:18" hidden="1" x14ac:dyDescent="0.2">
      <c r="A458" s="24" t="s">
        <v>75</v>
      </c>
      <c r="B458" s="5" t="s">
        <v>2</v>
      </c>
      <c r="C458" s="5" t="s">
        <v>30</v>
      </c>
      <c r="D458" s="4" t="s">
        <v>1240</v>
      </c>
      <c r="E458" s="4" t="s">
        <v>419</v>
      </c>
      <c r="F458" s="4"/>
      <c r="G458" s="67"/>
      <c r="H458" s="24" t="s">
        <v>420</v>
      </c>
      <c r="I458" s="25" t="str">
        <f t="shared" si="7"/>
        <v>061600412072025</v>
      </c>
      <c r="J458" s="110" t="s">
        <v>534</v>
      </c>
      <c r="K458" s="110" t="s">
        <v>513</v>
      </c>
      <c r="L458" s="110" t="s">
        <v>421</v>
      </c>
      <c r="M458" s="85" t="s">
        <v>513</v>
      </c>
      <c r="N458" s="90" t="s">
        <v>1371</v>
      </c>
      <c r="O458" s="90" t="s">
        <v>451</v>
      </c>
      <c r="P458" s="4" t="s">
        <v>74</v>
      </c>
      <c r="Q458" s="4"/>
      <c r="R458" s="71" t="s">
        <v>1402</v>
      </c>
    </row>
    <row r="459" spans="1:18" hidden="1" x14ac:dyDescent="0.2">
      <c r="A459" s="24" t="s">
        <v>75</v>
      </c>
      <c r="B459" s="5" t="s">
        <v>2</v>
      </c>
      <c r="C459" s="5" t="s">
        <v>30</v>
      </c>
      <c r="D459" s="4" t="s">
        <v>1240</v>
      </c>
      <c r="E459" s="4" t="s">
        <v>423</v>
      </c>
      <c r="F459" s="4"/>
      <c r="G459" s="67"/>
      <c r="H459" s="24" t="s">
        <v>424</v>
      </c>
      <c r="I459" s="25" t="str">
        <f t="shared" si="7"/>
        <v>061600412082025</v>
      </c>
      <c r="J459" s="43" t="s">
        <v>536</v>
      </c>
      <c r="K459" s="43" t="s">
        <v>514</v>
      </c>
      <c r="L459" s="43" t="s">
        <v>425</v>
      </c>
      <c r="M459" s="85" t="s">
        <v>514</v>
      </c>
      <c r="N459" s="90" t="s">
        <v>490</v>
      </c>
      <c r="O459" s="90" t="s">
        <v>484</v>
      </c>
      <c r="P459" s="4" t="s">
        <v>74</v>
      </c>
      <c r="Q459" s="4"/>
      <c r="R459" s="71" t="s">
        <v>1402</v>
      </c>
    </row>
    <row r="460" spans="1:18" hidden="1" x14ac:dyDescent="0.2">
      <c r="A460" s="24" t="s">
        <v>75</v>
      </c>
      <c r="B460" s="5" t="s">
        <v>2</v>
      </c>
      <c r="C460" s="5" t="s">
        <v>30</v>
      </c>
      <c r="D460" s="4" t="s">
        <v>1240</v>
      </c>
      <c r="E460" s="4" t="s">
        <v>427</v>
      </c>
      <c r="F460" s="4"/>
      <c r="G460" s="67"/>
      <c r="H460" s="24" t="s">
        <v>428</v>
      </c>
      <c r="I460" s="25" t="str">
        <f t="shared" si="7"/>
        <v>061600412092025</v>
      </c>
      <c r="J460" s="43" t="s">
        <v>538</v>
      </c>
      <c r="K460" s="43" t="s">
        <v>515</v>
      </c>
      <c r="L460" s="43" t="s">
        <v>429</v>
      </c>
      <c r="M460" s="85" t="s">
        <v>515</v>
      </c>
      <c r="N460" s="90" t="s">
        <v>573</v>
      </c>
      <c r="O460" s="90" t="s">
        <v>567</v>
      </c>
      <c r="P460" s="4" t="s">
        <v>74</v>
      </c>
      <c r="Q460" s="4"/>
      <c r="R460" s="71" t="s">
        <v>1402</v>
      </c>
    </row>
    <row r="461" spans="1:18" hidden="1" x14ac:dyDescent="0.2">
      <c r="A461" s="24" t="s">
        <v>75</v>
      </c>
      <c r="B461" s="5" t="s">
        <v>2</v>
      </c>
      <c r="C461" s="5" t="s">
        <v>30</v>
      </c>
      <c r="D461" s="4" t="s">
        <v>1240</v>
      </c>
      <c r="E461" s="4" t="s">
        <v>431</v>
      </c>
      <c r="F461" s="4"/>
      <c r="G461" s="67"/>
      <c r="H461" s="24" t="s">
        <v>432</v>
      </c>
      <c r="I461" s="25" t="str">
        <f t="shared" si="7"/>
        <v>061600412102025</v>
      </c>
      <c r="J461" s="43" t="s">
        <v>587</v>
      </c>
      <c r="K461" s="43" t="s">
        <v>516</v>
      </c>
      <c r="L461" s="43" t="s">
        <v>517</v>
      </c>
      <c r="M461" s="85" t="s">
        <v>516</v>
      </c>
      <c r="N461" s="90" t="s">
        <v>717</v>
      </c>
      <c r="O461" s="90" t="s">
        <v>455</v>
      </c>
      <c r="P461" s="4" t="s">
        <v>74</v>
      </c>
      <c r="Q461" s="4"/>
      <c r="R461" s="71" t="s">
        <v>1402</v>
      </c>
    </row>
    <row r="462" spans="1:18" hidden="1" x14ac:dyDescent="0.2">
      <c r="A462" s="24" t="s">
        <v>75</v>
      </c>
      <c r="B462" s="5" t="s">
        <v>2</v>
      </c>
      <c r="C462" s="5" t="s">
        <v>30</v>
      </c>
      <c r="D462" s="4" t="s">
        <v>1240</v>
      </c>
      <c r="E462" s="4" t="s">
        <v>435</v>
      </c>
      <c r="F462" s="4"/>
      <c r="G462" s="67"/>
      <c r="H462" s="24" t="s">
        <v>436</v>
      </c>
      <c r="I462" s="25" t="str">
        <f t="shared" si="7"/>
        <v>061600412112025</v>
      </c>
      <c r="J462" s="43" t="s">
        <v>486</v>
      </c>
      <c r="K462" s="43" t="s">
        <v>518</v>
      </c>
      <c r="L462" s="43" t="s">
        <v>437</v>
      </c>
      <c r="M462" s="85" t="s">
        <v>518</v>
      </c>
      <c r="N462" s="90" t="s">
        <v>588</v>
      </c>
      <c r="O462" s="90" t="s">
        <v>491</v>
      </c>
      <c r="P462" s="4" t="s">
        <v>74</v>
      </c>
      <c r="Q462" s="4"/>
      <c r="R462" s="71" t="s">
        <v>1402</v>
      </c>
    </row>
    <row r="463" spans="1:18" hidden="1" x14ac:dyDescent="0.2">
      <c r="A463" s="24" t="s">
        <v>75</v>
      </c>
      <c r="B463" s="5" t="s">
        <v>2</v>
      </c>
      <c r="C463" s="5" t="s">
        <v>30</v>
      </c>
      <c r="D463" s="4" t="s">
        <v>1240</v>
      </c>
      <c r="E463" s="4" t="s">
        <v>439</v>
      </c>
      <c r="F463" s="4"/>
      <c r="G463" s="67"/>
      <c r="H463" s="24" t="s">
        <v>440</v>
      </c>
      <c r="I463" s="25" t="str">
        <f t="shared" si="7"/>
        <v>061600412122025</v>
      </c>
      <c r="J463" s="43" t="s">
        <v>542</v>
      </c>
      <c r="K463" s="43" t="s">
        <v>519</v>
      </c>
      <c r="L463" s="43" t="s">
        <v>441</v>
      </c>
      <c r="M463" s="85" t="s">
        <v>519</v>
      </c>
      <c r="N463" s="90" t="s">
        <v>1366</v>
      </c>
      <c r="O463" s="90" t="s">
        <v>569</v>
      </c>
      <c r="P463" s="4" t="s">
        <v>74</v>
      </c>
      <c r="Q463" s="4"/>
      <c r="R463" s="71" t="s">
        <v>1402</v>
      </c>
    </row>
    <row r="464" spans="1:18" ht="24" hidden="1" x14ac:dyDescent="0.2">
      <c r="A464" s="24" t="s">
        <v>76</v>
      </c>
      <c r="B464" s="5" t="s">
        <v>2</v>
      </c>
      <c r="C464" s="5" t="s">
        <v>30</v>
      </c>
      <c r="D464" s="4" t="s">
        <v>945</v>
      </c>
      <c r="E464" s="4">
        <v>2024</v>
      </c>
      <c r="F464" s="4"/>
      <c r="G464" s="67"/>
      <c r="H464" s="24" t="s">
        <v>392</v>
      </c>
      <c r="I464" s="25" t="str">
        <f t="shared" si="7"/>
        <v>061600501012024</v>
      </c>
      <c r="J464" s="110" t="s">
        <v>405</v>
      </c>
      <c r="K464" s="110" t="s">
        <v>520</v>
      </c>
      <c r="L464" s="110" t="s">
        <v>521</v>
      </c>
      <c r="M464" s="139">
        <v>45701</v>
      </c>
      <c r="N464" s="105" t="s">
        <v>469</v>
      </c>
      <c r="O464" s="105" t="s">
        <v>546</v>
      </c>
      <c r="P464" s="6" t="s">
        <v>77</v>
      </c>
      <c r="Q464" s="4" t="s">
        <v>78</v>
      </c>
      <c r="R464" s="71"/>
    </row>
    <row r="465" spans="1:18" hidden="1" x14ac:dyDescent="0.2">
      <c r="A465" s="27" t="s">
        <v>79</v>
      </c>
      <c r="B465" s="28" t="s">
        <v>2</v>
      </c>
      <c r="C465" s="28" t="s">
        <v>30</v>
      </c>
      <c r="D465" s="26" t="s">
        <v>949</v>
      </c>
      <c r="E465" s="26">
        <v>2024</v>
      </c>
      <c r="F465" s="26" t="e">
        <f>VLOOKUP(I465,'Трансп. каталог'!$F$3:$I$743,2,0)</f>
        <v>#N/A</v>
      </c>
      <c r="G465" s="68" t="e">
        <f>VLOOKUP(I465,'Трансп. каталог'!$F$3:$I$743,3,0)</f>
        <v>#N/A</v>
      </c>
      <c r="H465" s="27" t="s">
        <v>392</v>
      </c>
      <c r="I465" s="29" t="str">
        <f t="shared" si="7"/>
        <v>061600601012024</v>
      </c>
      <c r="J465" s="141" t="s">
        <v>405</v>
      </c>
      <c r="K465" s="141" t="s">
        <v>520</v>
      </c>
      <c r="L465" s="141" t="s">
        <v>521</v>
      </c>
      <c r="M465" s="160">
        <v>45701</v>
      </c>
      <c r="N465" s="107" t="s">
        <v>469</v>
      </c>
      <c r="O465" s="107" t="s">
        <v>546</v>
      </c>
      <c r="P465" s="26" t="s">
        <v>80</v>
      </c>
      <c r="Q465" s="26" t="s">
        <v>78</v>
      </c>
      <c r="R465" s="72"/>
    </row>
    <row r="466" spans="1:18" ht="24" hidden="1" x14ac:dyDescent="0.2">
      <c r="A466" s="15" t="s">
        <v>82</v>
      </c>
      <c r="B466" s="16" t="s">
        <v>2</v>
      </c>
      <c r="C466" s="16" t="s">
        <v>30</v>
      </c>
      <c r="D466" s="14" t="s">
        <v>1233</v>
      </c>
      <c r="E466" s="14" t="s">
        <v>395</v>
      </c>
      <c r="F466" s="14" t="str">
        <f>VLOOKUP(I466,'Трансп. каталог'!$F$3:$I$743,2,0)</f>
        <v>23.12.2024 - 27.12.2024</v>
      </c>
      <c r="G466" s="64">
        <f>VLOOKUP(I466,'Трансп. каталог'!$F$3:$I$743,3,0)</f>
        <v>0</v>
      </c>
      <c r="H466" s="15" t="s">
        <v>396</v>
      </c>
      <c r="I466" s="17" t="str">
        <f t="shared" si="7"/>
        <v>061600712012025</v>
      </c>
      <c r="J466" s="92" t="s">
        <v>678</v>
      </c>
      <c r="K466" s="92" t="s">
        <v>543</v>
      </c>
      <c r="L466" s="92" t="s">
        <v>508</v>
      </c>
      <c r="M466" s="96" t="s">
        <v>543</v>
      </c>
      <c r="N466" s="97" t="s">
        <v>666</v>
      </c>
      <c r="O466" s="97" t="s">
        <v>522</v>
      </c>
      <c r="P466" s="30" t="s">
        <v>77</v>
      </c>
      <c r="Q466" s="14"/>
      <c r="R466" s="73" t="s">
        <v>1402</v>
      </c>
    </row>
    <row r="467" spans="1:18" ht="24" hidden="1" x14ac:dyDescent="0.2">
      <c r="A467" s="15" t="s">
        <v>82</v>
      </c>
      <c r="B467" s="16" t="s">
        <v>2</v>
      </c>
      <c r="C467" s="16" t="s">
        <v>30</v>
      </c>
      <c r="D467" s="14" t="s">
        <v>1233</v>
      </c>
      <c r="E467" s="14" t="s">
        <v>399</v>
      </c>
      <c r="F467" s="14" t="e">
        <f>VLOOKUP(I467,'Трансп. каталог'!$F$3:$I$743,2,0)</f>
        <v>#N/A</v>
      </c>
      <c r="G467" s="64" t="e">
        <f>VLOOKUP(I467,'Трансп. каталог'!$F$3:$I$743,3,0)</f>
        <v>#N/A</v>
      </c>
      <c r="H467" s="15" t="s">
        <v>400</v>
      </c>
      <c r="I467" s="17" t="str">
        <f t="shared" ref="I467:I530" si="8">CONCATENATE(A467,H467)</f>
        <v>061600712022025</v>
      </c>
      <c r="J467" s="92" t="s">
        <v>471</v>
      </c>
      <c r="K467" s="92" t="s">
        <v>520</v>
      </c>
      <c r="L467" s="92" t="s">
        <v>544</v>
      </c>
      <c r="M467" s="96" t="s">
        <v>520</v>
      </c>
      <c r="N467" s="97" t="s">
        <v>636</v>
      </c>
      <c r="O467" s="97" t="s">
        <v>524</v>
      </c>
      <c r="P467" s="30" t="s">
        <v>77</v>
      </c>
      <c r="Q467" s="14"/>
      <c r="R467" s="75" t="s">
        <v>1402</v>
      </c>
    </row>
    <row r="468" spans="1:18" ht="24" hidden="1" x14ac:dyDescent="0.2">
      <c r="A468" s="18" t="s">
        <v>82</v>
      </c>
      <c r="B468" s="3" t="s">
        <v>2</v>
      </c>
      <c r="C468" s="3" t="s">
        <v>30</v>
      </c>
      <c r="D468" s="2" t="s">
        <v>1233</v>
      </c>
      <c r="E468" s="2" t="s">
        <v>403</v>
      </c>
      <c r="F468" s="2" t="e">
        <f>VLOOKUP(I468,'Трансп. каталог'!$F$3:$I$743,2,0)</f>
        <v>#N/A</v>
      </c>
      <c r="G468" s="65" t="e">
        <f>VLOOKUP(I468,'Трансп. каталог'!$F$3:$I$743,3,0)</f>
        <v>#N/A</v>
      </c>
      <c r="H468" s="18" t="s">
        <v>404</v>
      </c>
      <c r="I468" s="19" t="str">
        <f t="shared" si="8"/>
        <v>061600712032025</v>
      </c>
      <c r="J468" s="93" t="s">
        <v>469</v>
      </c>
      <c r="K468" s="93" t="s">
        <v>545</v>
      </c>
      <c r="L468" s="93" t="s">
        <v>546</v>
      </c>
      <c r="M468" s="99" t="s">
        <v>545</v>
      </c>
      <c r="N468" s="95" t="s">
        <v>634</v>
      </c>
      <c r="O468" s="95" t="s">
        <v>526</v>
      </c>
      <c r="P468" s="31" t="s">
        <v>77</v>
      </c>
      <c r="Q468" s="2"/>
      <c r="R468" s="74" t="s">
        <v>1402</v>
      </c>
    </row>
    <row r="469" spans="1:18" ht="24" hidden="1" x14ac:dyDescent="0.2">
      <c r="A469" s="21" t="s">
        <v>82</v>
      </c>
      <c r="B469" s="22" t="s">
        <v>2</v>
      </c>
      <c r="C469" s="22" t="s">
        <v>30</v>
      </c>
      <c r="D469" s="20" t="s">
        <v>1233</v>
      </c>
      <c r="E469" s="20" t="s">
        <v>407</v>
      </c>
      <c r="F469" s="20" t="e">
        <f>VLOOKUP(I469,'Трансп. каталог'!$F$3:$I$743,2,0)</f>
        <v>#N/A</v>
      </c>
      <c r="G469" s="66" t="e">
        <f>VLOOKUP(I469,'Трансп. каталог'!$F$3:$I$743,3,0)</f>
        <v>#N/A</v>
      </c>
      <c r="H469" s="21" t="s">
        <v>408</v>
      </c>
      <c r="I469" s="23" t="str">
        <f t="shared" si="8"/>
        <v>061600712042025</v>
      </c>
      <c r="J469" s="94" t="s">
        <v>444</v>
      </c>
      <c r="K469" s="94" t="s">
        <v>547</v>
      </c>
      <c r="L469" s="94" t="s">
        <v>548</v>
      </c>
      <c r="M469" s="102" t="s">
        <v>547</v>
      </c>
      <c r="N469" s="103" t="s">
        <v>558</v>
      </c>
      <c r="O469" s="103" t="s">
        <v>528</v>
      </c>
      <c r="P469" s="32" t="s">
        <v>77</v>
      </c>
      <c r="Q469" s="20"/>
      <c r="R469" s="75" t="s">
        <v>1402</v>
      </c>
    </row>
    <row r="470" spans="1:18" ht="24" hidden="1" x14ac:dyDescent="0.2">
      <c r="A470" s="24" t="s">
        <v>82</v>
      </c>
      <c r="B470" s="5" t="s">
        <v>2</v>
      </c>
      <c r="C470" s="5" t="s">
        <v>30</v>
      </c>
      <c r="D470" s="4" t="s">
        <v>1233</v>
      </c>
      <c r="E470" s="4" t="s">
        <v>411</v>
      </c>
      <c r="F470" s="4" t="e">
        <f>VLOOKUP(I470,'Трансп. каталог'!$F$3:$I$743,2,0)</f>
        <v>#N/A</v>
      </c>
      <c r="G470" s="67" t="e">
        <f>VLOOKUP(I470,'Трансп. каталог'!$F$3:$I$743,3,0)</f>
        <v>#N/A</v>
      </c>
      <c r="H470" s="24" t="s">
        <v>412</v>
      </c>
      <c r="I470" s="25" t="str">
        <f t="shared" si="8"/>
        <v>061600712052025</v>
      </c>
      <c r="J470" s="110" t="s">
        <v>394</v>
      </c>
      <c r="K470" s="110" t="s">
        <v>549</v>
      </c>
      <c r="L470" s="110" t="s">
        <v>482</v>
      </c>
      <c r="M470" s="104" t="s">
        <v>549</v>
      </c>
      <c r="N470" s="105" t="s">
        <v>698</v>
      </c>
      <c r="O470" s="105" t="s">
        <v>530</v>
      </c>
      <c r="P470" s="6" t="s">
        <v>77</v>
      </c>
      <c r="Q470" s="4"/>
      <c r="R470" s="71" t="s">
        <v>1402</v>
      </c>
    </row>
    <row r="471" spans="1:18" ht="24" hidden="1" x14ac:dyDescent="0.2">
      <c r="A471" s="27" t="s">
        <v>82</v>
      </c>
      <c r="B471" s="28" t="s">
        <v>2</v>
      </c>
      <c r="C471" s="28" t="s">
        <v>30</v>
      </c>
      <c r="D471" s="26" t="s">
        <v>1233</v>
      </c>
      <c r="E471" s="26" t="s">
        <v>415</v>
      </c>
      <c r="F471" s="26" t="e">
        <f>VLOOKUP(I471,'Трансп. каталог'!$F$3:$I$743,2,0)</f>
        <v>#N/A</v>
      </c>
      <c r="G471" s="68" t="e">
        <f>VLOOKUP(I471,'Трансп. каталог'!$F$3:$I$743,3,0)</f>
        <v>#N/A</v>
      </c>
      <c r="H471" s="27" t="s">
        <v>416</v>
      </c>
      <c r="I471" s="29" t="str">
        <f t="shared" si="8"/>
        <v>061600712062025</v>
      </c>
      <c r="J471" s="141" t="s">
        <v>577</v>
      </c>
      <c r="K471" s="141" t="s">
        <v>550</v>
      </c>
      <c r="L471" s="141" t="s">
        <v>473</v>
      </c>
      <c r="M471" s="106" t="s">
        <v>550</v>
      </c>
      <c r="N471" s="107" t="s">
        <v>1370</v>
      </c>
      <c r="O471" s="107" t="s">
        <v>532</v>
      </c>
      <c r="P471" s="33" t="s">
        <v>77</v>
      </c>
      <c r="Q471" s="26"/>
      <c r="R471" s="72" t="s">
        <v>1402</v>
      </c>
    </row>
    <row r="472" spans="1:18" ht="24" hidden="1" x14ac:dyDescent="0.2">
      <c r="A472" s="15" t="s">
        <v>82</v>
      </c>
      <c r="B472" s="16" t="s">
        <v>2</v>
      </c>
      <c r="C472" s="16" t="s">
        <v>30</v>
      </c>
      <c r="D472" s="14" t="s">
        <v>1233</v>
      </c>
      <c r="E472" s="14" t="s">
        <v>419</v>
      </c>
      <c r="F472" s="14" t="e">
        <f>VLOOKUP(I472,'Трансп. каталог'!$F$3:$I$743,2,0)</f>
        <v>#N/A</v>
      </c>
      <c r="G472" s="64" t="e">
        <f>VLOOKUP(I472,'Трансп. каталог'!$F$3:$I$743,3,0)</f>
        <v>#N/A</v>
      </c>
      <c r="H472" s="15" t="s">
        <v>420</v>
      </c>
      <c r="I472" s="17" t="str">
        <f t="shared" si="8"/>
        <v>061600712072025</v>
      </c>
      <c r="J472" s="92" t="s">
        <v>474</v>
      </c>
      <c r="K472" s="92" t="s">
        <v>551</v>
      </c>
      <c r="L472" s="92" t="s">
        <v>552</v>
      </c>
      <c r="M472" s="96" t="s">
        <v>551</v>
      </c>
      <c r="N472" s="97" t="s">
        <v>559</v>
      </c>
      <c r="O472" s="97" t="s">
        <v>534</v>
      </c>
      <c r="P472" s="30" t="s">
        <v>77</v>
      </c>
      <c r="Q472" s="14"/>
      <c r="R472" s="73" t="s">
        <v>1402</v>
      </c>
    </row>
    <row r="473" spans="1:18" ht="24" hidden="1" x14ac:dyDescent="0.2">
      <c r="A473" s="18" t="s">
        <v>82</v>
      </c>
      <c r="B473" s="3" t="s">
        <v>2</v>
      </c>
      <c r="C473" s="3" t="s">
        <v>30</v>
      </c>
      <c r="D473" s="2" t="s">
        <v>1233</v>
      </c>
      <c r="E473" s="2" t="s">
        <v>423</v>
      </c>
      <c r="F473" s="2" t="e">
        <f>VLOOKUP(I473,'Трансп. каталог'!$F$3:$I$743,2,0)</f>
        <v>#N/A</v>
      </c>
      <c r="G473" s="65" t="e">
        <f>VLOOKUP(I473,'Трансп. каталог'!$F$3:$I$743,3,0)</f>
        <v>#N/A</v>
      </c>
      <c r="H473" s="18" t="s">
        <v>424</v>
      </c>
      <c r="I473" s="19" t="str">
        <f t="shared" si="8"/>
        <v>061600712082025</v>
      </c>
      <c r="J473" s="144" t="s">
        <v>700</v>
      </c>
      <c r="K473" s="41" t="s">
        <v>553</v>
      </c>
      <c r="L473" s="41" t="s">
        <v>475</v>
      </c>
      <c r="M473" s="99" t="s">
        <v>553</v>
      </c>
      <c r="N473" s="95" t="s">
        <v>490</v>
      </c>
      <c r="O473" s="95" t="s">
        <v>484</v>
      </c>
      <c r="P473" s="31" t="s">
        <v>77</v>
      </c>
      <c r="Q473" s="2"/>
      <c r="R473" s="74" t="s">
        <v>1402</v>
      </c>
    </row>
    <row r="474" spans="1:18" ht="24" hidden="1" x14ac:dyDescent="0.2">
      <c r="A474" s="21" t="s">
        <v>82</v>
      </c>
      <c r="B474" s="22" t="s">
        <v>2</v>
      </c>
      <c r="C474" s="22" t="s">
        <v>30</v>
      </c>
      <c r="D474" s="2" t="s">
        <v>1233</v>
      </c>
      <c r="E474" s="20" t="s">
        <v>427</v>
      </c>
      <c r="F474" s="20" t="e">
        <f>VLOOKUP(I474,'Трансп. каталог'!$F$3:$I$743,2,0)</f>
        <v>#N/A</v>
      </c>
      <c r="G474" s="66" t="e">
        <f>VLOOKUP(I474,'Трансп. каталог'!$F$3:$I$743,3,0)</f>
        <v>#N/A</v>
      </c>
      <c r="H474" s="21" t="s">
        <v>428</v>
      </c>
      <c r="I474" s="23" t="str">
        <f t="shared" si="8"/>
        <v>061600712092025</v>
      </c>
      <c r="J474" s="80" t="s">
        <v>476</v>
      </c>
      <c r="K474" s="42" t="s">
        <v>554</v>
      </c>
      <c r="L474" s="42" t="s">
        <v>454</v>
      </c>
      <c r="M474" s="102" t="s">
        <v>554</v>
      </c>
      <c r="N474" s="103" t="s">
        <v>561</v>
      </c>
      <c r="O474" s="103" t="s">
        <v>538</v>
      </c>
      <c r="P474" s="32" t="s">
        <v>77</v>
      </c>
      <c r="Q474" s="20"/>
      <c r="R474" s="75" t="s">
        <v>1402</v>
      </c>
    </row>
    <row r="475" spans="1:18" ht="24" hidden="1" x14ac:dyDescent="0.2">
      <c r="A475" s="24" t="s">
        <v>82</v>
      </c>
      <c r="B475" s="5" t="s">
        <v>2</v>
      </c>
      <c r="C475" s="5" t="s">
        <v>30</v>
      </c>
      <c r="D475" s="2" t="s">
        <v>1233</v>
      </c>
      <c r="E475" s="4" t="s">
        <v>431</v>
      </c>
      <c r="F475" s="4" t="e">
        <f>VLOOKUP(I475,'Трансп. каталог'!$F$3:$I$743,2,0)</f>
        <v>#N/A</v>
      </c>
      <c r="G475" s="67" t="e">
        <f>VLOOKUP(I475,'Трансп. каталог'!$F$3:$I$743,3,0)</f>
        <v>#N/A</v>
      </c>
      <c r="H475" s="24" t="s">
        <v>432</v>
      </c>
      <c r="I475" s="25" t="str">
        <f t="shared" si="8"/>
        <v>061600712102025</v>
      </c>
      <c r="J475" s="79" t="s">
        <v>587</v>
      </c>
      <c r="K475" s="43" t="s">
        <v>555</v>
      </c>
      <c r="L475" s="43" t="s">
        <v>556</v>
      </c>
      <c r="M475" s="104" t="s">
        <v>555</v>
      </c>
      <c r="N475" s="105" t="s">
        <v>717</v>
      </c>
      <c r="O475" s="105" t="s">
        <v>455</v>
      </c>
      <c r="P475" s="6" t="s">
        <v>77</v>
      </c>
      <c r="Q475" s="4"/>
      <c r="R475" s="71" t="s">
        <v>1402</v>
      </c>
    </row>
    <row r="476" spans="1:18" ht="24" hidden="1" x14ac:dyDescent="0.2">
      <c r="A476" s="27" t="s">
        <v>82</v>
      </c>
      <c r="B476" s="28" t="s">
        <v>2</v>
      </c>
      <c r="C476" s="28" t="s">
        <v>30</v>
      </c>
      <c r="D476" s="2" t="s">
        <v>1233</v>
      </c>
      <c r="E476" s="26" t="s">
        <v>435</v>
      </c>
      <c r="F476" s="26" t="e">
        <f>VLOOKUP(I476,'Трансп. каталог'!$F$3:$I$743,2,0)</f>
        <v>#N/A</v>
      </c>
      <c r="G476" s="68" t="e">
        <f>VLOOKUP(I476,'Трансп. каталог'!$F$3:$I$743,3,0)</f>
        <v>#N/A</v>
      </c>
      <c r="H476" s="27" t="s">
        <v>436</v>
      </c>
      <c r="I476" s="29" t="str">
        <f t="shared" si="8"/>
        <v>061600712112025</v>
      </c>
      <c r="J476" s="78" t="s">
        <v>583</v>
      </c>
      <c r="K476" s="44" t="s">
        <v>505</v>
      </c>
      <c r="L476" s="44" t="s">
        <v>479</v>
      </c>
      <c r="M476" s="106" t="s">
        <v>505</v>
      </c>
      <c r="N476" s="107" t="s">
        <v>1369</v>
      </c>
      <c r="O476" s="107" t="s">
        <v>486</v>
      </c>
      <c r="P476" s="33" t="s">
        <v>77</v>
      </c>
      <c r="Q476" s="26"/>
      <c r="R476" s="72" t="s">
        <v>1402</v>
      </c>
    </row>
    <row r="477" spans="1:18" ht="24" hidden="1" x14ac:dyDescent="0.2">
      <c r="A477" s="15" t="s">
        <v>82</v>
      </c>
      <c r="B477" s="16" t="s">
        <v>2</v>
      </c>
      <c r="C477" s="16" t="s">
        <v>30</v>
      </c>
      <c r="D477" s="14" t="s">
        <v>1233</v>
      </c>
      <c r="E477" s="14" t="s">
        <v>439</v>
      </c>
      <c r="F477" s="14" t="e">
        <f>VLOOKUP(I477,'Трансп. каталог'!$F$3:$I$743,2,0)</f>
        <v>#N/A</v>
      </c>
      <c r="G477" s="64" t="e">
        <f>VLOOKUP(I477,'Трансп. каталог'!$F$3:$I$743,3,0)</f>
        <v>#N/A</v>
      </c>
      <c r="H477" s="15" t="s">
        <v>440</v>
      </c>
      <c r="I477" s="17" t="str">
        <f t="shared" si="8"/>
        <v>061600712122025</v>
      </c>
      <c r="J477" s="143" t="s">
        <v>480</v>
      </c>
      <c r="K477" s="40" t="s">
        <v>557</v>
      </c>
      <c r="L477" s="40" t="s">
        <v>458</v>
      </c>
      <c r="M477" s="96" t="s">
        <v>557</v>
      </c>
      <c r="N477" s="97" t="s">
        <v>564</v>
      </c>
      <c r="O477" s="97" t="s">
        <v>542</v>
      </c>
      <c r="P477" s="30" t="s">
        <v>77</v>
      </c>
      <c r="Q477" s="14"/>
      <c r="R477" s="73" t="s">
        <v>1402</v>
      </c>
    </row>
    <row r="478" spans="1:18" hidden="1" x14ac:dyDescent="0.2">
      <c r="A478" s="15" t="s">
        <v>83</v>
      </c>
      <c r="B478" s="16" t="s">
        <v>2</v>
      </c>
      <c r="C478" s="16" t="s">
        <v>30</v>
      </c>
      <c r="D478" s="14" t="s">
        <v>1412</v>
      </c>
      <c r="E478" s="14" t="s">
        <v>395</v>
      </c>
      <c r="F478" s="14" t="str">
        <f>VLOOKUP(I478,'Трансп. каталог'!$F$3:$I$743,2,0)</f>
        <v>не позднее 29.01.2025</v>
      </c>
      <c r="G478" s="64">
        <f>VLOOKUP(I478,'Трансп. каталог'!$F$3:$I$743,3,0)</f>
        <v>0</v>
      </c>
      <c r="H478" s="15" t="s">
        <v>396</v>
      </c>
      <c r="I478" s="17" t="str">
        <f t="shared" si="8"/>
        <v>061600812012025</v>
      </c>
      <c r="J478" s="108" t="s">
        <v>523</v>
      </c>
      <c r="K478" s="108" t="s">
        <v>520</v>
      </c>
      <c r="L478" s="108" t="s">
        <v>524</v>
      </c>
      <c r="M478" s="96" t="s">
        <v>520</v>
      </c>
      <c r="N478" s="97" t="s">
        <v>463</v>
      </c>
      <c r="O478" s="97" t="s">
        <v>510</v>
      </c>
      <c r="P478" s="14" t="s">
        <v>84</v>
      </c>
      <c r="Q478" s="14"/>
      <c r="R478" s="73">
        <f>VLOOKUP(I478,'Трансп. каталог'!$F$3:$I$743,4,0)</f>
        <v>0</v>
      </c>
    </row>
    <row r="479" spans="1:18" hidden="1" x14ac:dyDescent="0.2">
      <c r="A479" s="15" t="s">
        <v>83</v>
      </c>
      <c r="B479" s="16" t="s">
        <v>2</v>
      </c>
      <c r="C479" s="16" t="s">
        <v>30</v>
      </c>
      <c r="D479" s="14" t="s">
        <v>1412</v>
      </c>
      <c r="E479" s="14" t="s">
        <v>399</v>
      </c>
      <c r="F479" s="14" t="str">
        <f>VLOOKUP(I479,'Трансп. каталог'!$F$3:$I$743,2,0)</f>
        <v>не позднее 27.02.2025</v>
      </c>
      <c r="G479" s="64">
        <f>VLOOKUP(I479,'Трансп. каталог'!$F$3:$I$743,3,0)</f>
        <v>0</v>
      </c>
      <c r="H479" s="15" t="s">
        <v>400</v>
      </c>
      <c r="I479" s="17" t="str">
        <f t="shared" si="8"/>
        <v>061600812022025</v>
      </c>
      <c r="J479" s="92" t="s">
        <v>525</v>
      </c>
      <c r="K479" s="92" t="s">
        <v>545</v>
      </c>
      <c r="L479" s="92" t="s">
        <v>526</v>
      </c>
      <c r="M479" s="96" t="s">
        <v>545</v>
      </c>
      <c r="N479" s="97" t="s">
        <v>605</v>
      </c>
      <c r="O479" s="97" t="s">
        <v>495</v>
      </c>
      <c r="P479" s="14" t="s">
        <v>84</v>
      </c>
      <c r="Q479" s="14"/>
      <c r="R479" s="73">
        <f>VLOOKUP(I479,'Трансп. каталог'!$F$3:$I$743,4,0)</f>
        <v>0</v>
      </c>
    </row>
    <row r="480" spans="1:18" hidden="1" x14ac:dyDescent="0.2">
      <c r="A480" s="15" t="s">
        <v>83</v>
      </c>
      <c r="B480" s="16" t="s">
        <v>2</v>
      </c>
      <c r="C480" s="16" t="s">
        <v>30</v>
      </c>
      <c r="D480" s="14" t="s">
        <v>1412</v>
      </c>
      <c r="E480" s="14" t="s">
        <v>403</v>
      </c>
      <c r="F480" s="14" t="str">
        <f>VLOOKUP(I480,'Трансп. каталог'!$F$3:$I$743,2,0)</f>
        <v>не позднее 28.03.2025</v>
      </c>
      <c r="G480" s="64">
        <f>VLOOKUP(I480,'Трансп. каталог'!$F$3:$I$743,3,0)</f>
        <v>0</v>
      </c>
      <c r="H480" s="15" t="s">
        <v>404</v>
      </c>
      <c r="I480" s="17" t="str">
        <f t="shared" si="8"/>
        <v>061600812032025</v>
      </c>
      <c r="J480" s="92" t="s">
        <v>637</v>
      </c>
      <c r="K480" s="92" t="s">
        <v>547</v>
      </c>
      <c r="L480" s="92" t="s">
        <v>558</v>
      </c>
      <c r="M480" s="210" t="s">
        <v>547</v>
      </c>
      <c r="N480" s="211" t="s">
        <v>511</v>
      </c>
      <c r="O480" s="211" t="s">
        <v>671</v>
      </c>
      <c r="P480" s="14" t="s">
        <v>84</v>
      </c>
      <c r="Q480" s="14"/>
      <c r="R480" s="73">
        <f>VLOOKUP(I480,'Трансп. каталог'!$F$3:$I$743,4,0)</f>
        <v>0</v>
      </c>
    </row>
    <row r="481" spans="1:18" hidden="1" x14ac:dyDescent="0.2">
      <c r="A481" s="18" t="s">
        <v>83</v>
      </c>
      <c r="B481" s="3" t="s">
        <v>2</v>
      </c>
      <c r="C481" s="3" t="s">
        <v>30</v>
      </c>
      <c r="D481" s="2" t="s">
        <v>1412</v>
      </c>
      <c r="E481" s="2" t="s">
        <v>407</v>
      </c>
      <c r="F481" s="2" t="str">
        <f>VLOOKUP(I481,'Трансп. каталог'!$F$3:$I$743,2,0)</f>
        <v xml:space="preserve">
не позднее 28.04.2025</v>
      </c>
      <c r="G481" s="65">
        <f>VLOOKUP(I481,'Трансп. каталог'!$F$3:$I$743,3,0)</f>
        <v>0</v>
      </c>
      <c r="H481" s="18" t="s">
        <v>408</v>
      </c>
      <c r="I481" s="19" t="str">
        <f t="shared" si="8"/>
        <v>061600812042025</v>
      </c>
      <c r="J481" s="93" t="s">
        <v>592</v>
      </c>
      <c r="K481" s="93" t="s">
        <v>549</v>
      </c>
      <c r="L481" s="93" t="s">
        <v>394</v>
      </c>
      <c r="M481" s="206" t="s">
        <v>549</v>
      </c>
      <c r="N481" s="207" t="s">
        <v>661</v>
      </c>
      <c r="O481" s="207" t="s">
        <v>529</v>
      </c>
      <c r="P481" s="2" t="s">
        <v>84</v>
      </c>
      <c r="Q481" s="2"/>
      <c r="R481" s="74">
        <f>VLOOKUP(I481,'Трансп. каталог'!$F$3:$I$743,4,0)</f>
        <v>0</v>
      </c>
    </row>
    <row r="482" spans="1:18" hidden="1" x14ac:dyDescent="0.2">
      <c r="A482" s="21" t="s">
        <v>83</v>
      </c>
      <c r="B482" s="22" t="s">
        <v>2</v>
      </c>
      <c r="C482" s="22" t="s">
        <v>30</v>
      </c>
      <c r="D482" s="2" t="s">
        <v>1412</v>
      </c>
      <c r="E482" s="20" t="s">
        <v>411</v>
      </c>
      <c r="F482" s="20" t="str">
        <f>VLOOKUP(I482,'Трансп. каталог'!$F$3:$I$743,2,0)</f>
        <v xml:space="preserve">
не позднее 27.05.2025</v>
      </c>
      <c r="G482" s="66">
        <f>VLOOKUP(I482,'Трансп. каталог'!$F$3:$I$743,3,0)</f>
        <v>0</v>
      </c>
      <c r="H482" s="21" t="s">
        <v>412</v>
      </c>
      <c r="I482" s="23" t="str">
        <f t="shared" si="8"/>
        <v>061600812052025</v>
      </c>
      <c r="J482" s="94" t="s">
        <v>531</v>
      </c>
      <c r="K482" s="94" t="s">
        <v>445</v>
      </c>
      <c r="L482" s="94" t="s">
        <v>532</v>
      </c>
      <c r="M482" s="206" t="s">
        <v>445</v>
      </c>
      <c r="N482" s="207" t="s">
        <v>512</v>
      </c>
      <c r="O482" s="207" t="s">
        <v>565</v>
      </c>
      <c r="P482" s="20" t="s">
        <v>84</v>
      </c>
      <c r="Q482" s="20"/>
      <c r="R482" s="75">
        <f>VLOOKUP(I482,'Трансп. каталог'!$F$3:$I$743,4,0)</f>
        <v>0</v>
      </c>
    </row>
    <row r="483" spans="1:18" hidden="1" x14ac:dyDescent="0.2">
      <c r="A483" s="24" t="s">
        <v>83</v>
      </c>
      <c r="B483" s="5" t="s">
        <v>2</v>
      </c>
      <c r="C483" s="5" t="s">
        <v>30</v>
      </c>
      <c r="D483" s="2" t="s">
        <v>1412</v>
      </c>
      <c r="E483" s="4" t="s">
        <v>415</v>
      </c>
      <c r="F483" s="4" t="str">
        <f>VLOOKUP(I483,'Трансп. каталог'!$F$3:$I$743,2,0)</f>
        <v xml:space="preserve">
не позднее 27.06.2025</v>
      </c>
      <c r="G483" s="67">
        <f>VLOOKUP(I483,'Трансп. каталог'!$F$3:$I$743,3,0)</f>
        <v>0</v>
      </c>
      <c r="H483" s="24" t="s">
        <v>416</v>
      </c>
      <c r="I483" s="25" t="str">
        <f t="shared" si="8"/>
        <v>061600812062025</v>
      </c>
      <c r="J483" s="110" t="s">
        <v>596</v>
      </c>
      <c r="K483" s="110" t="s">
        <v>551</v>
      </c>
      <c r="L483" s="110" t="s">
        <v>559</v>
      </c>
      <c r="M483" s="206" t="s">
        <v>551</v>
      </c>
      <c r="N483" s="207" t="s">
        <v>513</v>
      </c>
      <c r="O483" s="207" t="s">
        <v>533</v>
      </c>
      <c r="P483" s="4" t="s">
        <v>84</v>
      </c>
      <c r="Q483" s="4"/>
      <c r="R483" s="71">
        <f>VLOOKUP(I483,'Трансп. каталог'!$F$3:$I$743,4,0)</f>
        <v>0</v>
      </c>
    </row>
    <row r="484" spans="1:18" hidden="1" x14ac:dyDescent="0.2">
      <c r="A484" s="27" t="s">
        <v>83</v>
      </c>
      <c r="B484" s="28" t="s">
        <v>2</v>
      </c>
      <c r="C484" s="28" t="s">
        <v>30</v>
      </c>
      <c r="D484" s="2" t="s">
        <v>1412</v>
      </c>
      <c r="E484" s="26" t="s">
        <v>419</v>
      </c>
      <c r="F484" s="26" t="str">
        <f>VLOOKUP(I484,'Трансп. каталог'!$F$3:$I$743,2,0)</f>
        <v xml:space="preserve"> 
не позднее 29.07.2025</v>
      </c>
      <c r="G484" s="68">
        <f>VLOOKUP(I484,'Трансп. каталог'!$F$3:$I$743,3,0)</f>
        <v>0</v>
      </c>
      <c r="H484" s="27" t="s">
        <v>420</v>
      </c>
      <c r="I484" s="29" t="str">
        <f t="shared" si="8"/>
        <v>061600812072025</v>
      </c>
      <c r="J484" s="44" t="s">
        <v>535</v>
      </c>
      <c r="K484" s="44" t="s">
        <v>553</v>
      </c>
      <c r="L484" s="44" t="s">
        <v>536</v>
      </c>
      <c r="M484" s="86" t="s">
        <v>553</v>
      </c>
      <c r="N484" s="91" t="s">
        <v>606</v>
      </c>
      <c r="O484" s="91" t="s">
        <v>514</v>
      </c>
      <c r="P484" s="26" t="s">
        <v>84</v>
      </c>
      <c r="Q484" s="26"/>
      <c r="R484" s="72">
        <f>VLOOKUP(I484,'Трансп. каталог'!$F$3:$I$743,4,0)</f>
        <v>0</v>
      </c>
    </row>
    <row r="485" spans="1:18" hidden="1" x14ac:dyDescent="0.2">
      <c r="A485" s="15" t="s">
        <v>83</v>
      </c>
      <c r="B485" s="16" t="s">
        <v>2</v>
      </c>
      <c r="C485" s="16" t="s">
        <v>30</v>
      </c>
      <c r="D485" s="14" t="s">
        <v>1412</v>
      </c>
      <c r="E485" s="14" t="s">
        <v>423</v>
      </c>
      <c r="F485" s="14" t="str">
        <f>VLOOKUP(I485,'Трансп. каталог'!$F$3:$I$743,2,0)</f>
        <v>не позднее 29.08.2025</v>
      </c>
      <c r="G485" s="64">
        <f>VLOOKUP(I485,'Трансп. каталог'!$F$3:$I$743,3,0)</f>
        <v>0</v>
      </c>
      <c r="H485" s="15" t="s">
        <v>424</v>
      </c>
      <c r="I485" s="17" t="str">
        <f t="shared" si="8"/>
        <v>061600812082025</v>
      </c>
      <c r="J485" s="40" t="s">
        <v>537</v>
      </c>
      <c r="K485" s="40" t="s">
        <v>560</v>
      </c>
      <c r="L485" s="40" t="s">
        <v>561</v>
      </c>
      <c r="M485" s="82" t="s">
        <v>560</v>
      </c>
      <c r="N485" s="87" t="s">
        <v>515</v>
      </c>
      <c r="O485" s="87" t="s">
        <v>566</v>
      </c>
      <c r="P485" s="14" t="s">
        <v>84</v>
      </c>
      <c r="Q485" s="14"/>
      <c r="R485" s="73">
        <f>VLOOKUP(I485,'Трансп. каталог'!$F$3:$I$743,4,0)</f>
        <v>0</v>
      </c>
    </row>
    <row r="486" spans="1:18" hidden="1" x14ac:dyDescent="0.2">
      <c r="A486" s="15" t="s">
        <v>83</v>
      </c>
      <c r="B486" s="16" t="s">
        <v>2</v>
      </c>
      <c r="C486" s="16" t="s">
        <v>30</v>
      </c>
      <c r="D486" s="14" t="s">
        <v>1412</v>
      </c>
      <c r="E486" s="14" t="s">
        <v>427</v>
      </c>
      <c r="F486" s="14" t="str">
        <f>VLOOKUP(I486,'Трансп. каталог'!$F$3:$I$743,2,0)</f>
        <v xml:space="preserve">
не позднее 30.09.2025</v>
      </c>
      <c r="G486" s="64">
        <f>VLOOKUP(I486,'Трансп. каталог'!$F$3:$I$743,3,0)</f>
        <v>0</v>
      </c>
      <c r="H486" s="15" t="s">
        <v>428</v>
      </c>
      <c r="I486" s="17" t="str">
        <f t="shared" si="8"/>
        <v>061600812092025</v>
      </c>
      <c r="J486" s="40" t="s">
        <v>639</v>
      </c>
      <c r="K486" s="40" t="s">
        <v>555</v>
      </c>
      <c r="L486" s="40" t="s">
        <v>562</v>
      </c>
      <c r="M486" s="82" t="s">
        <v>555</v>
      </c>
      <c r="N486" s="87" t="s">
        <v>516</v>
      </c>
      <c r="O486" s="87" t="s">
        <v>674</v>
      </c>
      <c r="P486" s="14" t="s">
        <v>84</v>
      </c>
      <c r="Q486" s="14"/>
      <c r="R486" s="73">
        <f>VLOOKUP(I486,'Трансп. каталог'!$F$3:$I$743,4,0)</f>
        <v>0</v>
      </c>
    </row>
    <row r="487" spans="1:18" hidden="1" x14ac:dyDescent="0.2">
      <c r="A487" s="15" t="s">
        <v>83</v>
      </c>
      <c r="B487" s="16" t="s">
        <v>2</v>
      </c>
      <c r="C487" s="16" t="s">
        <v>30</v>
      </c>
      <c r="D487" s="14" t="s">
        <v>1412</v>
      </c>
      <c r="E487" s="14" t="s">
        <v>431</v>
      </c>
      <c r="F487" s="14" t="str">
        <f>VLOOKUP(I487,'Трансп. каталог'!$F$3:$I$743,2,0)</f>
        <v xml:space="preserve">
не позднее 28.10.2025</v>
      </c>
      <c r="G487" s="64">
        <f>VLOOKUP(I487,'Трансп. каталог'!$F$3:$I$743,3,0)</f>
        <v>0</v>
      </c>
      <c r="H487" s="15" t="s">
        <v>432</v>
      </c>
      <c r="I487" s="17" t="str">
        <f t="shared" si="8"/>
        <v>061600812102025</v>
      </c>
      <c r="J487" s="40" t="s">
        <v>540</v>
      </c>
      <c r="K487" s="40" t="s">
        <v>505</v>
      </c>
      <c r="L487" s="40" t="s">
        <v>486</v>
      </c>
      <c r="M487" s="82" t="s">
        <v>505</v>
      </c>
      <c r="N487" s="87" t="s">
        <v>505</v>
      </c>
      <c r="O487" s="87" t="s">
        <v>518</v>
      </c>
      <c r="P487" s="14" t="s">
        <v>84</v>
      </c>
      <c r="Q487" s="14"/>
      <c r="R487" s="73">
        <f>VLOOKUP(I487,'Трансп. каталог'!$F$3:$I$743,4,0)</f>
        <v>0</v>
      </c>
    </row>
    <row r="488" spans="1:18" hidden="1" x14ac:dyDescent="0.2">
      <c r="A488" s="15" t="s">
        <v>83</v>
      </c>
      <c r="B488" s="16" t="s">
        <v>2</v>
      </c>
      <c r="C488" s="16" t="s">
        <v>30</v>
      </c>
      <c r="D488" s="14" t="s">
        <v>1412</v>
      </c>
      <c r="E488" s="14" t="s">
        <v>435</v>
      </c>
      <c r="F488" s="14" t="str">
        <f>VLOOKUP(I488,'Трансп. каталог'!$F$3:$I$743,2,0)</f>
        <v>не позднее 28.11.2025</v>
      </c>
      <c r="G488" s="64">
        <f>VLOOKUP(I488,'Трансп. каталог'!$F$3:$I$743,3,0)</f>
        <v>0</v>
      </c>
      <c r="H488" s="15" t="s">
        <v>436</v>
      </c>
      <c r="I488" s="17" t="str">
        <f t="shared" si="8"/>
        <v>061600812112025</v>
      </c>
      <c r="J488" s="40" t="s">
        <v>541</v>
      </c>
      <c r="K488" s="40" t="s">
        <v>563</v>
      </c>
      <c r="L488" s="40" t="s">
        <v>564</v>
      </c>
      <c r="M488" s="82" t="s">
        <v>563</v>
      </c>
      <c r="N488" s="87" t="s">
        <v>519</v>
      </c>
      <c r="O488" s="87" t="s">
        <v>568</v>
      </c>
      <c r="P488" s="14" t="s">
        <v>84</v>
      </c>
      <c r="Q488" s="14"/>
      <c r="R488" s="73">
        <f>VLOOKUP(I488,'Трансп. каталог'!$F$3:$I$743,4,0)</f>
        <v>0</v>
      </c>
    </row>
    <row r="489" spans="1:18" hidden="1" x14ac:dyDescent="0.2">
      <c r="A489" s="15" t="s">
        <v>85</v>
      </c>
      <c r="B489" s="16" t="s">
        <v>2</v>
      </c>
      <c r="C489" s="16" t="s">
        <v>30</v>
      </c>
      <c r="D489" s="14" t="s">
        <v>1083</v>
      </c>
      <c r="E489" s="14" t="s">
        <v>446</v>
      </c>
      <c r="F489" s="14" t="str">
        <f>VLOOKUP(I489,'Трансп. каталог'!$F$3:$I$743,2,0)</f>
        <v>не позднее  
21.02.2025</v>
      </c>
      <c r="G489" s="64">
        <f>VLOOKUP(I489,'Трансп. каталог'!$F$3:$I$743,3,0)</f>
        <v>0</v>
      </c>
      <c r="H489" s="15" t="s">
        <v>447</v>
      </c>
      <c r="I489" s="17" t="str">
        <f t="shared" si="8"/>
        <v>061600904012025</v>
      </c>
      <c r="J489" s="92" t="s">
        <v>634</v>
      </c>
      <c r="K489" s="92" t="s">
        <v>468</v>
      </c>
      <c r="L489" s="92" t="s">
        <v>469</v>
      </c>
      <c r="M489" s="96" t="s">
        <v>468</v>
      </c>
      <c r="N489" s="97" t="s">
        <v>586</v>
      </c>
      <c r="O489" s="97" t="s">
        <v>493</v>
      </c>
      <c r="P489" s="14" t="s">
        <v>80</v>
      </c>
      <c r="Q489" s="14"/>
      <c r="R489" s="73">
        <f>VLOOKUP(I489,'Трансп. каталог'!$F$3:$I$743,4,0)</f>
        <v>0</v>
      </c>
    </row>
    <row r="490" spans="1:18" hidden="1" x14ac:dyDescent="0.2">
      <c r="A490" s="15" t="s">
        <v>85</v>
      </c>
      <c r="B490" s="16" t="s">
        <v>2</v>
      </c>
      <c r="C490" s="16" t="s">
        <v>30</v>
      </c>
      <c r="D490" s="14" t="s">
        <v>1083</v>
      </c>
      <c r="E490" s="14" t="s">
        <v>449</v>
      </c>
      <c r="F490" s="14" t="e">
        <f>VLOOKUP(I490,'Трансп. каталог'!$F$3:$I$743,2,0)</f>
        <v>#N/A</v>
      </c>
      <c r="G490" s="64" t="e">
        <f>VLOOKUP(I490,'Трансп. каталог'!$F$3:$I$743,3,0)</f>
        <v>#N/A</v>
      </c>
      <c r="H490" s="15" t="s">
        <v>450</v>
      </c>
      <c r="I490" s="17" t="str">
        <f t="shared" si="8"/>
        <v>061600904022025</v>
      </c>
      <c r="J490" s="40" t="s">
        <v>1370</v>
      </c>
      <c r="K490" s="40" t="s">
        <v>565</v>
      </c>
      <c r="L490" s="40" t="s">
        <v>473</v>
      </c>
      <c r="M490" s="98">
        <v>45825</v>
      </c>
      <c r="N490" s="97" t="s">
        <v>531</v>
      </c>
      <c r="O490" s="97" t="s">
        <v>571</v>
      </c>
      <c r="P490" s="14" t="s">
        <v>80</v>
      </c>
      <c r="Q490" s="14"/>
      <c r="R490" s="73" t="s">
        <v>1402</v>
      </c>
    </row>
    <row r="491" spans="1:18" hidden="1" x14ac:dyDescent="0.2">
      <c r="A491" s="15" t="s">
        <v>85</v>
      </c>
      <c r="B491" s="16" t="s">
        <v>2</v>
      </c>
      <c r="C491" s="16" t="s">
        <v>30</v>
      </c>
      <c r="D491" s="14" t="s">
        <v>1083</v>
      </c>
      <c r="E491" s="14" t="s">
        <v>452</v>
      </c>
      <c r="F491" s="14" t="e">
        <f>VLOOKUP(I491,'Трансп. каталог'!$F$3:$I$743,2,0)</f>
        <v>#N/A</v>
      </c>
      <c r="G491" s="64" t="e">
        <f>VLOOKUP(I491,'Трансп. каталог'!$F$3:$I$743,3,0)</f>
        <v>#N/A</v>
      </c>
      <c r="H491" s="15" t="s">
        <v>453</v>
      </c>
      <c r="I491" s="17" t="str">
        <f t="shared" si="8"/>
        <v>061600904032025</v>
      </c>
      <c r="J491" s="40" t="s">
        <v>561</v>
      </c>
      <c r="K491" s="40" t="s">
        <v>566</v>
      </c>
      <c r="L491" s="40" t="s">
        <v>567</v>
      </c>
      <c r="M491" s="96" t="s">
        <v>566</v>
      </c>
      <c r="N491" s="97" t="s">
        <v>537</v>
      </c>
      <c r="O491" s="97" t="s">
        <v>1394</v>
      </c>
      <c r="P491" s="14" t="s">
        <v>80</v>
      </c>
      <c r="Q491" s="14"/>
      <c r="R491" s="73" t="s">
        <v>1402</v>
      </c>
    </row>
    <row r="492" spans="1:18" hidden="1" x14ac:dyDescent="0.2">
      <c r="A492" s="15" t="s">
        <v>85</v>
      </c>
      <c r="B492" s="16" t="s">
        <v>2</v>
      </c>
      <c r="C492" s="16" t="s">
        <v>30</v>
      </c>
      <c r="D492" s="14" t="s">
        <v>1083</v>
      </c>
      <c r="E492" s="14" t="s">
        <v>456</v>
      </c>
      <c r="F492" s="14" t="e">
        <f>VLOOKUP(I492,'Трансп. каталог'!$F$3:$I$743,2,0)</f>
        <v>#N/A</v>
      </c>
      <c r="G492" s="64" t="e">
        <f>VLOOKUP(I492,'Трансп. каталог'!$F$3:$I$743,3,0)</f>
        <v>#N/A</v>
      </c>
      <c r="H492" s="15" t="s">
        <v>457</v>
      </c>
      <c r="I492" s="17" t="str">
        <f t="shared" si="8"/>
        <v>061600904042025</v>
      </c>
      <c r="J492" s="40" t="s">
        <v>564</v>
      </c>
      <c r="K492" s="40" t="s">
        <v>568</v>
      </c>
      <c r="L492" s="40" t="s">
        <v>569</v>
      </c>
      <c r="M492" s="96" t="s">
        <v>568</v>
      </c>
      <c r="N492" s="97" t="s">
        <v>541</v>
      </c>
      <c r="O492" s="97" t="s">
        <v>1395</v>
      </c>
      <c r="P492" s="14" t="s">
        <v>80</v>
      </c>
      <c r="Q492" s="14"/>
      <c r="R492" s="73" t="s">
        <v>1402</v>
      </c>
    </row>
    <row r="493" spans="1:18" ht="24" hidden="1" x14ac:dyDescent="0.2">
      <c r="A493" s="15" t="s">
        <v>86</v>
      </c>
      <c r="B493" s="16" t="s">
        <v>2</v>
      </c>
      <c r="C493" s="16" t="s">
        <v>30</v>
      </c>
      <c r="D493" s="14" t="s">
        <v>1413</v>
      </c>
      <c r="E493" s="14" t="s">
        <v>446</v>
      </c>
      <c r="F493" s="14" t="str">
        <f>VLOOKUP(I493,'Трансп. каталог'!$F$3:$I$743,2,0)</f>
        <v>не позднее 27.02.2025</v>
      </c>
      <c r="G493" s="64">
        <f>VLOOKUP(I493,'Трансп. каталог'!$F$3:$I$743,3,0)</f>
        <v>0</v>
      </c>
      <c r="H493" s="15" t="s">
        <v>447</v>
      </c>
      <c r="I493" s="17" t="str">
        <f t="shared" si="8"/>
        <v>061601004012025</v>
      </c>
      <c r="J493" s="92" t="s">
        <v>393</v>
      </c>
      <c r="K493" s="92" t="s">
        <v>494</v>
      </c>
      <c r="L493" s="92" t="s">
        <v>570</v>
      </c>
      <c r="M493" s="96" t="s">
        <v>494</v>
      </c>
      <c r="N493" s="97" t="s">
        <v>469</v>
      </c>
      <c r="O493" s="97" t="s">
        <v>546</v>
      </c>
      <c r="P493" s="30" t="s">
        <v>87</v>
      </c>
      <c r="Q493" s="14"/>
      <c r="R493" s="73">
        <f>VLOOKUP(I493,'Трансп. каталог'!$F$3:$I$743,4,0)</f>
        <v>0</v>
      </c>
    </row>
    <row r="494" spans="1:18" ht="24" hidden="1" x14ac:dyDescent="0.2">
      <c r="A494" s="15" t="s">
        <v>86</v>
      </c>
      <c r="B494" s="16" t="s">
        <v>2</v>
      </c>
      <c r="C494" s="16" t="s">
        <v>30</v>
      </c>
      <c r="D494" s="14" t="s">
        <v>1413</v>
      </c>
      <c r="E494" s="14" t="s">
        <v>449</v>
      </c>
      <c r="F494" s="14" t="e">
        <f>VLOOKUP(I494,'Трансп. каталог'!$F$3:$I$743,2,0)</f>
        <v>#N/A</v>
      </c>
      <c r="G494" s="64" t="e">
        <f>VLOOKUP(I494,'Трансп. каталог'!$F$3:$I$743,3,0)</f>
        <v>#N/A</v>
      </c>
      <c r="H494" s="15" t="s">
        <v>450</v>
      </c>
      <c r="I494" s="17" t="str">
        <f t="shared" si="8"/>
        <v>061601004022025</v>
      </c>
      <c r="J494" s="40" t="s">
        <v>483</v>
      </c>
      <c r="K494" s="40" t="s">
        <v>571</v>
      </c>
      <c r="L494" s="40" t="s">
        <v>572</v>
      </c>
      <c r="M494" s="82" t="s">
        <v>571</v>
      </c>
      <c r="N494" s="87" t="s">
        <v>532</v>
      </c>
      <c r="O494" s="87" t="s">
        <v>473</v>
      </c>
      <c r="P494" s="30" t="s">
        <v>87</v>
      </c>
      <c r="Q494" s="14"/>
      <c r="R494" s="73" t="s">
        <v>1402</v>
      </c>
    </row>
    <row r="495" spans="1:18" ht="24" hidden="1" x14ac:dyDescent="0.2">
      <c r="A495" s="15" t="s">
        <v>86</v>
      </c>
      <c r="B495" s="16" t="s">
        <v>2</v>
      </c>
      <c r="C495" s="16" t="s">
        <v>30</v>
      </c>
      <c r="D495" s="14" t="s">
        <v>1413</v>
      </c>
      <c r="E495" s="14" t="s">
        <v>452</v>
      </c>
      <c r="F495" s="14" t="e">
        <f>VLOOKUP(I495,'Трансп. каталог'!$F$3:$I$743,2,0)</f>
        <v>#N/A</v>
      </c>
      <c r="G495" s="64" t="e">
        <f>VLOOKUP(I495,'Трансп. каталог'!$F$3:$I$743,3,0)</f>
        <v>#N/A</v>
      </c>
      <c r="H495" s="15" t="s">
        <v>453</v>
      </c>
      <c r="I495" s="17" t="str">
        <f t="shared" si="8"/>
        <v>061601004032025</v>
      </c>
      <c r="J495" s="40" t="s">
        <v>485</v>
      </c>
      <c r="K495" s="40" t="s">
        <v>573</v>
      </c>
      <c r="L495" s="40" t="s">
        <v>574</v>
      </c>
      <c r="M495" s="82" t="s">
        <v>573</v>
      </c>
      <c r="N495" s="87" t="s">
        <v>567</v>
      </c>
      <c r="O495" s="87" t="s">
        <v>476</v>
      </c>
      <c r="P495" s="30" t="s">
        <v>87</v>
      </c>
      <c r="Q495" s="14"/>
      <c r="R495" s="73" t="s">
        <v>1402</v>
      </c>
    </row>
    <row r="496" spans="1:18" ht="24" hidden="1" x14ac:dyDescent="0.2">
      <c r="A496" s="15" t="s">
        <v>86</v>
      </c>
      <c r="B496" s="16" t="s">
        <v>2</v>
      </c>
      <c r="C496" s="16" t="s">
        <v>30</v>
      </c>
      <c r="D496" s="14" t="s">
        <v>1413</v>
      </c>
      <c r="E496" s="14" t="s">
        <v>456</v>
      </c>
      <c r="F496" s="14" t="e">
        <f>VLOOKUP(I496,'Трансп. каталог'!$F$3:$I$743,2,0)</f>
        <v>#N/A</v>
      </c>
      <c r="G496" s="64" t="e">
        <f>VLOOKUP(I496,'Трансп. каталог'!$F$3:$I$743,3,0)</f>
        <v>#N/A</v>
      </c>
      <c r="H496" s="15" t="s">
        <v>457</v>
      </c>
      <c r="I496" s="17" t="str">
        <f t="shared" si="8"/>
        <v>061601004042025</v>
      </c>
      <c r="J496" s="40" t="s">
        <v>481</v>
      </c>
      <c r="K496" s="40" t="s">
        <v>564</v>
      </c>
      <c r="L496" s="40" t="s">
        <v>575</v>
      </c>
      <c r="M496" s="82" t="s">
        <v>564</v>
      </c>
      <c r="N496" s="87" t="s">
        <v>1397</v>
      </c>
      <c r="O496" s="87" t="s">
        <v>617</v>
      </c>
      <c r="P496" s="30" t="s">
        <v>87</v>
      </c>
      <c r="Q496" s="14"/>
      <c r="R496" s="73" t="s">
        <v>1402</v>
      </c>
    </row>
    <row r="497" spans="1:18" hidden="1" x14ac:dyDescent="0.2">
      <c r="A497" s="15" t="s">
        <v>89</v>
      </c>
      <c r="B497" s="16" t="s">
        <v>2</v>
      </c>
      <c r="C497" s="16" t="s">
        <v>30</v>
      </c>
      <c r="D497" s="14" t="s">
        <v>1235</v>
      </c>
      <c r="E497" s="14" t="s">
        <v>395</v>
      </c>
      <c r="F497" s="14" t="str">
        <f>VLOOKUP(I497,'Трансп. каталог'!$F$3:$I$743,2,0)</f>
        <v>20.12.2024 - 27.12.2024</v>
      </c>
      <c r="G497" s="64">
        <f>VLOOKUP(I497,'Трансп. каталог'!$F$3:$I$743,3,0)</f>
        <v>0</v>
      </c>
      <c r="H497" s="15" t="s">
        <v>396</v>
      </c>
      <c r="I497" s="17" t="str">
        <f t="shared" si="8"/>
        <v>061601212012025</v>
      </c>
      <c r="J497" s="92" t="s">
        <v>705</v>
      </c>
      <c r="K497" s="92" t="s">
        <v>576</v>
      </c>
      <c r="L497" s="92" t="s">
        <v>470</v>
      </c>
      <c r="M497" s="96" t="s">
        <v>576</v>
      </c>
      <c r="N497" s="97" t="s">
        <v>1384</v>
      </c>
      <c r="O497" s="97" t="s">
        <v>1384</v>
      </c>
      <c r="P497" s="14" t="s">
        <v>90</v>
      </c>
      <c r="Q497" s="14"/>
      <c r="R497" s="73" t="s">
        <v>1402</v>
      </c>
    </row>
    <row r="498" spans="1:18" hidden="1" x14ac:dyDescent="0.2">
      <c r="A498" s="18" t="s">
        <v>89</v>
      </c>
      <c r="B498" s="3" t="s">
        <v>2</v>
      </c>
      <c r="C498" s="3" t="s">
        <v>30</v>
      </c>
      <c r="D498" s="2" t="s">
        <v>1235</v>
      </c>
      <c r="E498" s="2" t="s">
        <v>399</v>
      </c>
      <c r="F498" s="2" t="e">
        <f>VLOOKUP(I498,'Трансп. каталог'!$F$3:$I$743,2,0)</f>
        <v>#N/A</v>
      </c>
      <c r="G498" s="65" t="e">
        <f>VLOOKUP(I498,'Трансп. каталог'!$F$3:$I$743,3,0)</f>
        <v>#N/A</v>
      </c>
      <c r="H498" s="18" t="s">
        <v>400</v>
      </c>
      <c r="I498" s="19" t="str">
        <f t="shared" si="8"/>
        <v>061601212022025</v>
      </c>
      <c r="J498" s="93" t="s">
        <v>611</v>
      </c>
      <c r="K498" s="93" t="s">
        <v>510</v>
      </c>
      <c r="L498" s="93" t="s">
        <v>471</v>
      </c>
      <c r="M498" s="99" t="s">
        <v>510</v>
      </c>
      <c r="N498" s="95" t="s">
        <v>585</v>
      </c>
      <c r="O498" s="95" t="s">
        <v>669</v>
      </c>
      <c r="P498" s="2" t="s">
        <v>90</v>
      </c>
      <c r="Q498" s="2"/>
      <c r="R498" s="74" t="s">
        <v>1402</v>
      </c>
    </row>
    <row r="499" spans="1:18" hidden="1" x14ac:dyDescent="0.2">
      <c r="A499" s="21" t="s">
        <v>89</v>
      </c>
      <c r="B499" s="22" t="s">
        <v>2</v>
      </c>
      <c r="C499" s="22" t="s">
        <v>30</v>
      </c>
      <c r="D499" s="20" t="s">
        <v>1235</v>
      </c>
      <c r="E499" s="20" t="s">
        <v>403</v>
      </c>
      <c r="F499" s="20" t="e">
        <f>VLOOKUP(I499,'Трансп. каталог'!$F$3:$I$743,2,0)</f>
        <v>#N/A</v>
      </c>
      <c r="G499" s="66" t="e">
        <f>VLOOKUP(I499,'Трансп. каталог'!$F$3:$I$743,3,0)</f>
        <v>#N/A</v>
      </c>
      <c r="H499" s="21" t="s">
        <v>404</v>
      </c>
      <c r="I499" s="23" t="str">
        <f t="shared" si="8"/>
        <v>061601212032025</v>
      </c>
      <c r="J499" s="94" t="s">
        <v>494</v>
      </c>
      <c r="K499" s="94" t="s">
        <v>495</v>
      </c>
      <c r="L499" s="94" t="s">
        <v>467</v>
      </c>
      <c r="M499" s="102" t="s">
        <v>495</v>
      </c>
      <c r="N499" s="103" t="s">
        <v>468</v>
      </c>
      <c r="O499" s="103" t="s">
        <v>586</v>
      </c>
      <c r="P499" s="20" t="s">
        <v>90</v>
      </c>
      <c r="Q499" s="20"/>
      <c r="R499" s="74" t="s">
        <v>1402</v>
      </c>
    </row>
    <row r="500" spans="1:18" hidden="1" x14ac:dyDescent="0.2">
      <c r="A500" s="24" t="s">
        <v>89</v>
      </c>
      <c r="B500" s="5" t="s">
        <v>2</v>
      </c>
      <c r="C500" s="5" t="s">
        <v>30</v>
      </c>
      <c r="D500" s="4" t="s">
        <v>1235</v>
      </c>
      <c r="E500" s="4" t="s">
        <v>407</v>
      </c>
      <c r="F500" s="4" t="e">
        <f>VLOOKUP(I500,'Трансп. каталог'!$F$3:$I$743,2,0)</f>
        <v>#N/A</v>
      </c>
      <c r="G500" s="67" t="e">
        <f>VLOOKUP(I500,'Трансп. каталог'!$F$3:$I$743,3,0)</f>
        <v>#N/A</v>
      </c>
      <c r="H500" s="24" t="s">
        <v>408</v>
      </c>
      <c r="I500" s="25" t="str">
        <f t="shared" si="8"/>
        <v>061601212042025</v>
      </c>
      <c r="J500" s="110" t="s">
        <v>703</v>
      </c>
      <c r="K500" s="110" t="s">
        <v>527</v>
      </c>
      <c r="L500" s="110" t="s">
        <v>444</v>
      </c>
      <c r="M500" s="104" t="s">
        <v>527</v>
      </c>
      <c r="N500" s="105" t="s">
        <v>671</v>
      </c>
      <c r="O500" s="105" t="s">
        <v>637</v>
      </c>
      <c r="P500" s="4" t="s">
        <v>90</v>
      </c>
      <c r="Q500" s="4"/>
      <c r="R500" s="74" t="s">
        <v>1402</v>
      </c>
    </row>
    <row r="501" spans="1:18" hidden="1" x14ac:dyDescent="0.2">
      <c r="A501" s="27" t="s">
        <v>89</v>
      </c>
      <c r="B501" s="28" t="s">
        <v>2</v>
      </c>
      <c r="C501" s="28" t="s">
        <v>30</v>
      </c>
      <c r="D501" s="26" t="s">
        <v>1235</v>
      </c>
      <c r="E501" s="26" t="s">
        <v>411</v>
      </c>
      <c r="F501" s="26" t="e">
        <f>VLOOKUP(I501,'Трансп. каталог'!$F$3:$I$743,2,0)</f>
        <v>#N/A</v>
      </c>
      <c r="G501" s="68" t="e">
        <f>VLOOKUP(I501,'Трансп. каталог'!$F$3:$I$743,3,0)</f>
        <v>#N/A</v>
      </c>
      <c r="H501" s="27" t="s">
        <v>412</v>
      </c>
      <c r="I501" s="29" t="str">
        <f t="shared" si="8"/>
        <v>061601212052025</v>
      </c>
      <c r="J501" s="141" t="s">
        <v>667</v>
      </c>
      <c r="K501" s="141" t="s">
        <v>500</v>
      </c>
      <c r="L501" s="141" t="s">
        <v>472</v>
      </c>
      <c r="M501" s="106" t="s">
        <v>500</v>
      </c>
      <c r="N501" s="107" t="s">
        <v>529</v>
      </c>
      <c r="O501" s="107" t="s">
        <v>529</v>
      </c>
      <c r="P501" s="26" t="s">
        <v>90</v>
      </c>
      <c r="Q501" s="26"/>
      <c r="R501" s="74" t="s">
        <v>1402</v>
      </c>
    </row>
    <row r="502" spans="1:18" hidden="1" x14ac:dyDescent="0.2">
      <c r="A502" s="15" t="s">
        <v>89</v>
      </c>
      <c r="B502" s="16" t="s">
        <v>2</v>
      </c>
      <c r="C502" s="16" t="s">
        <v>30</v>
      </c>
      <c r="D502" s="14" t="s">
        <v>1235</v>
      </c>
      <c r="E502" s="14" t="s">
        <v>415</v>
      </c>
      <c r="F502" s="14" t="e">
        <f>VLOOKUP(I502,'Трансп. каталог'!$F$3:$I$743,2,0)</f>
        <v>#N/A</v>
      </c>
      <c r="G502" s="64" t="e">
        <f>VLOOKUP(I502,'Трансп. каталог'!$F$3:$I$743,3,0)</f>
        <v>#N/A</v>
      </c>
      <c r="H502" s="15" t="s">
        <v>416</v>
      </c>
      <c r="I502" s="17" t="str">
        <f t="shared" si="8"/>
        <v>061601212062025</v>
      </c>
      <c r="J502" s="92" t="s">
        <v>571</v>
      </c>
      <c r="K502" s="92" t="s">
        <v>512</v>
      </c>
      <c r="L502" s="92" t="s">
        <v>577</v>
      </c>
      <c r="M502" s="96" t="s">
        <v>512</v>
      </c>
      <c r="N502" s="97" t="s">
        <v>565</v>
      </c>
      <c r="O502" s="97" t="s">
        <v>594</v>
      </c>
      <c r="P502" s="14" t="s">
        <v>90</v>
      </c>
      <c r="Q502" s="14"/>
      <c r="R502" s="73" t="s">
        <v>1402</v>
      </c>
    </row>
    <row r="503" spans="1:18" hidden="1" x14ac:dyDescent="0.2">
      <c r="A503" s="15" t="s">
        <v>89</v>
      </c>
      <c r="B503" s="16" t="s">
        <v>2</v>
      </c>
      <c r="C503" s="16" t="s">
        <v>30</v>
      </c>
      <c r="D503" s="14" t="s">
        <v>1235</v>
      </c>
      <c r="E503" s="14" t="s">
        <v>419</v>
      </c>
      <c r="F503" s="14" t="e">
        <f>VLOOKUP(I503,'Трансп. каталог'!$F$3:$I$743,2,0)</f>
        <v>#N/A</v>
      </c>
      <c r="G503" s="64" t="e">
        <f>VLOOKUP(I503,'Трансп. каталог'!$F$3:$I$743,3,0)</f>
        <v>#N/A</v>
      </c>
      <c r="H503" s="15" t="s">
        <v>420</v>
      </c>
      <c r="I503" s="17" t="str">
        <f t="shared" si="8"/>
        <v>061601212072025</v>
      </c>
      <c r="J503" s="92" t="s">
        <v>688</v>
      </c>
      <c r="K503" s="92" t="s">
        <v>578</v>
      </c>
      <c r="L503" s="92" t="s">
        <v>579</v>
      </c>
      <c r="M503" s="96" t="s">
        <v>578</v>
      </c>
      <c r="N503" s="97" t="s">
        <v>533</v>
      </c>
      <c r="O503" s="97" t="s">
        <v>596</v>
      </c>
      <c r="P503" s="14" t="s">
        <v>90</v>
      </c>
      <c r="Q503" s="14"/>
      <c r="R503" s="73" t="s">
        <v>1402</v>
      </c>
    </row>
    <row r="504" spans="1:18" hidden="1" x14ac:dyDescent="0.2">
      <c r="A504" s="15" t="s">
        <v>89</v>
      </c>
      <c r="B504" s="16" t="s">
        <v>2</v>
      </c>
      <c r="C504" s="16" t="s">
        <v>30</v>
      </c>
      <c r="D504" s="14" t="s">
        <v>1235</v>
      </c>
      <c r="E504" s="14" t="s">
        <v>423</v>
      </c>
      <c r="F504" s="14" t="e">
        <f>VLOOKUP(I504,'Трансп. каталог'!$F$3:$I$743,2,0)</f>
        <v>#N/A</v>
      </c>
      <c r="G504" s="64" t="e">
        <f>VLOOKUP(I504,'Трансп. каталог'!$F$3:$I$743,3,0)</f>
        <v>#N/A</v>
      </c>
      <c r="H504" s="15" t="s">
        <v>424</v>
      </c>
      <c r="I504" s="17" t="str">
        <f t="shared" si="8"/>
        <v>061601212082025</v>
      </c>
      <c r="J504" s="40" t="s">
        <v>490</v>
      </c>
      <c r="K504" s="40" t="s">
        <v>580</v>
      </c>
      <c r="L504" s="40" t="s">
        <v>581</v>
      </c>
      <c r="M504" s="96" t="s">
        <v>580</v>
      </c>
      <c r="N504" s="97" t="s">
        <v>535</v>
      </c>
      <c r="O504" s="97" t="s">
        <v>673</v>
      </c>
      <c r="P504" s="14" t="s">
        <v>90</v>
      </c>
      <c r="Q504" s="14"/>
      <c r="R504" s="73" t="s">
        <v>1402</v>
      </c>
    </row>
    <row r="505" spans="1:18" hidden="1" x14ac:dyDescent="0.2">
      <c r="A505" s="15" t="s">
        <v>89</v>
      </c>
      <c r="B505" s="16" t="s">
        <v>2</v>
      </c>
      <c r="C505" s="16" t="s">
        <v>30</v>
      </c>
      <c r="D505" s="14" t="s">
        <v>1235</v>
      </c>
      <c r="E505" s="14" t="s">
        <v>427</v>
      </c>
      <c r="F505" s="14" t="e">
        <f>VLOOKUP(I505,'Трансп. каталог'!$F$3:$I$743,2,0)</f>
        <v>#N/A</v>
      </c>
      <c r="G505" s="64" t="e">
        <f>VLOOKUP(I505,'Трансп. каталог'!$F$3:$I$743,3,0)</f>
        <v>#N/A</v>
      </c>
      <c r="H505" s="15" t="s">
        <v>428</v>
      </c>
      <c r="I505" s="17" t="str">
        <f t="shared" si="8"/>
        <v>061601212092025</v>
      </c>
      <c r="J505" s="40" t="s">
        <v>573</v>
      </c>
      <c r="K505" s="40" t="s">
        <v>582</v>
      </c>
      <c r="L505" s="40" t="s">
        <v>476</v>
      </c>
      <c r="M505" s="96" t="s">
        <v>582</v>
      </c>
      <c r="N505" s="97" t="s">
        <v>566</v>
      </c>
      <c r="O505" s="97" t="s">
        <v>1394</v>
      </c>
      <c r="P505" s="14" t="s">
        <v>90</v>
      </c>
      <c r="Q505" s="14"/>
      <c r="R505" s="73" t="s">
        <v>1402</v>
      </c>
    </row>
    <row r="506" spans="1:18" hidden="1" x14ac:dyDescent="0.2">
      <c r="A506" s="15" t="s">
        <v>89</v>
      </c>
      <c r="B506" s="16" t="s">
        <v>2</v>
      </c>
      <c r="C506" s="16" t="s">
        <v>30</v>
      </c>
      <c r="D506" s="14" t="s">
        <v>1235</v>
      </c>
      <c r="E506" s="14" t="s">
        <v>431</v>
      </c>
      <c r="F506" s="14" t="e">
        <f>VLOOKUP(I506,'Трансп. каталог'!$F$3:$I$743,2,0)</f>
        <v>#N/A</v>
      </c>
      <c r="G506" s="64" t="e">
        <f>VLOOKUP(I506,'Трансп. каталог'!$F$3:$I$743,3,0)</f>
        <v>#N/A</v>
      </c>
      <c r="H506" s="15" t="s">
        <v>432</v>
      </c>
      <c r="I506" s="17" t="str">
        <f t="shared" si="8"/>
        <v>061601212102025</v>
      </c>
      <c r="J506" s="40" t="s">
        <v>639</v>
      </c>
      <c r="K506" s="40" t="s">
        <v>539</v>
      </c>
      <c r="L506" s="40" t="s">
        <v>477</v>
      </c>
      <c r="M506" s="96" t="s">
        <v>539</v>
      </c>
      <c r="N506" s="97" t="s">
        <v>516</v>
      </c>
      <c r="O506" s="97" t="s">
        <v>674</v>
      </c>
      <c r="P506" s="14" t="s">
        <v>90</v>
      </c>
      <c r="Q506" s="14"/>
      <c r="R506" s="73" t="s">
        <v>1402</v>
      </c>
    </row>
    <row r="507" spans="1:18" hidden="1" x14ac:dyDescent="0.2">
      <c r="A507" s="15" t="s">
        <v>89</v>
      </c>
      <c r="B507" s="16" t="s">
        <v>2</v>
      </c>
      <c r="C507" s="16" t="s">
        <v>30</v>
      </c>
      <c r="D507" s="14" t="s">
        <v>1235</v>
      </c>
      <c r="E507" s="14" t="s">
        <v>435</v>
      </c>
      <c r="F507" s="14" t="e">
        <f>VLOOKUP(I507,'Трансп. каталог'!$F$3:$I$743,2,0)</f>
        <v>#N/A</v>
      </c>
      <c r="G507" s="64" t="e">
        <f>VLOOKUP(I507,'Трансп. каталог'!$F$3:$I$743,3,0)</f>
        <v>#N/A</v>
      </c>
      <c r="H507" s="15" t="s">
        <v>436</v>
      </c>
      <c r="I507" s="17" t="str">
        <f t="shared" si="8"/>
        <v>061601212112025</v>
      </c>
      <c r="J507" s="40" t="s">
        <v>613</v>
      </c>
      <c r="K507" s="40" t="s">
        <v>518</v>
      </c>
      <c r="L507" s="40" t="s">
        <v>583</v>
      </c>
      <c r="M507" s="96" t="s">
        <v>518</v>
      </c>
      <c r="N507" s="97" t="s">
        <v>668</v>
      </c>
      <c r="O507" s="97" t="s">
        <v>588</v>
      </c>
      <c r="P507" s="14" t="s">
        <v>90</v>
      </c>
      <c r="Q507" s="14"/>
      <c r="R507" s="73" t="s">
        <v>1402</v>
      </c>
    </row>
    <row r="508" spans="1:18" hidden="1" x14ac:dyDescent="0.2">
      <c r="A508" s="15" t="s">
        <v>89</v>
      </c>
      <c r="B508" s="16" t="s">
        <v>2</v>
      </c>
      <c r="C508" s="16" t="s">
        <v>30</v>
      </c>
      <c r="D508" s="14" t="s">
        <v>1235</v>
      </c>
      <c r="E508" s="14" t="s">
        <v>439</v>
      </c>
      <c r="F508" s="14" t="e">
        <f>VLOOKUP(I508,'Трансп. каталог'!$F$3:$I$743,2,0)</f>
        <v>#N/A</v>
      </c>
      <c r="G508" s="64" t="e">
        <f>VLOOKUP(I508,'Трансп. каталог'!$F$3:$I$743,3,0)</f>
        <v>#N/A</v>
      </c>
      <c r="H508" s="15" t="s">
        <v>440</v>
      </c>
      <c r="I508" s="17" t="str">
        <f t="shared" si="8"/>
        <v>061601212122025</v>
      </c>
      <c r="J508" s="40" t="s">
        <v>1366</v>
      </c>
      <c r="K508" s="40" t="s">
        <v>584</v>
      </c>
      <c r="L508" s="40" t="s">
        <v>480</v>
      </c>
      <c r="M508" s="96" t="s">
        <v>584</v>
      </c>
      <c r="N508" s="97" t="s">
        <v>568</v>
      </c>
      <c r="O508" s="97" t="s">
        <v>1395</v>
      </c>
      <c r="P508" s="14" t="s">
        <v>90</v>
      </c>
      <c r="Q508" s="14"/>
      <c r="R508" s="73" t="s">
        <v>1402</v>
      </c>
    </row>
    <row r="509" spans="1:18" hidden="1" x14ac:dyDescent="0.2">
      <c r="A509" s="18" t="s">
        <v>91</v>
      </c>
      <c r="B509" s="3" t="s">
        <v>2</v>
      </c>
      <c r="C509" s="3" t="s">
        <v>30</v>
      </c>
      <c r="D509" s="2" t="s">
        <v>1195</v>
      </c>
      <c r="E509" s="2" t="s">
        <v>395</v>
      </c>
      <c r="F509" s="2" t="str">
        <f>VLOOKUP(I509,'Трансп. каталог'!$F$3:$I$743,2,0)</f>
        <v>23.12.2024 - 27.12.2024</v>
      </c>
      <c r="G509" s="65">
        <f>VLOOKUP(I509,'Трансп. каталог'!$F$3:$I$743,3,0)</f>
        <v>0</v>
      </c>
      <c r="H509" s="18" t="s">
        <v>396</v>
      </c>
      <c r="I509" s="19" t="str">
        <f t="shared" si="8"/>
        <v>061601512012025</v>
      </c>
      <c r="J509" s="93" t="s">
        <v>709</v>
      </c>
      <c r="K509" s="93" t="s">
        <v>464</v>
      </c>
      <c r="L509" s="93" t="s">
        <v>508</v>
      </c>
      <c r="M509" s="99" t="s">
        <v>464</v>
      </c>
      <c r="N509" s="95" t="s">
        <v>705</v>
      </c>
      <c r="O509" s="95" t="s">
        <v>666</v>
      </c>
      <c r="P509" s="2" t="s">
        <v>92</v>
      </c>
      <c r="Q509" s="2"/>
      <c r="R509" s="73" t="s">
        <v>1402</v>
      </c>
    </row>
    <row r="510" spans="1:18" hidden="1" x14ac:dyDescent="0.2">
      <c r="A510" s="21" t="s">
        <v>91</v>
      </c>
      <c r="B510" s="22" t="s">
        <v>2</v>
      </c>
      <c r="C510" s="22" t="s">
        <v>30</v>
      </c>
      <c r="D510" s="20" t="s">
        <v>1195</v>
      </c>
      <c r="E510" s="20" t="s">
        <v>399</v>
      </c>
      <c r="F510" s="20" t="e">
        <f>VLOOKUP(I510,'Трансп. каталог'!$F$3:$I$743,2,0)</f>
        <v>#N/A</v>
      </c>
      <c r="G510" s="66" t="e">
        <f>VLOOKUP(I510,'Трансп. каталог'!$F$3:$I$743,3,0)</f>
        <v>#N/A</v>
      </c>
      <c r="H510" s="21" t="s">
        <v>400</v>
      </c>
      <c r="I510" s="23" t="str">
        <f t="shared" si="8"/>
        <v>061601512022025</v>
      </c>
      <c r="J510" s="94" t="s">
        <v>636</v>
      </c>
      <c r="K510" s="94" t="s">
        <v>585</v>
      </c>
      <c r="L510" s="94" t="s">
        <v>471</v>
      </c>
      <c r="M510" s="102" t="s">
        <v>585</v>
      </c>
      <c r="N510" s="103" t="s">
        <v>669</v>
      </c>
      <c r="O510" s="103" t="s">
        <v>610</v>
      </c>
      <c r="P510" s="20" t="s">
        <v>92</v>
      </c>
      <c r="Q510" s="20"/>
      <c r="R510" s="73" t="s">
        <v>1402</v>
      </c>
    </row>
    <row r="511" spans="1:18" hidden="1" x14ac:dyDescent="0.2">
      <c r="A511" s="27" t="s">
        <v>91</v>
      </c>
      <c r="B511" s="28" t="s">
        <v>2</v>
      </c>
      <c r="C511" s="28" t="s">
        <v>30</v>
      </c>
      <c r="D511" s="26" t="s">
        <v>1195</v>
      </c>
      <c r="E511" s="26" t="s">
        <v>403</v>
      </c>
      <c r="F511" s="26" t="e">
        <f>VLOOKUP(I511,'Трансп. каталог'!$F$3:$I$743,2,0)</f>
        <v>#N/A</v>
      </c>
      <c r="G511" s="68" t="e">
        <f>VLOOKUP(I511,'Трансп. каталог'!$F$3:$I$743,3,0)</f>
        <v>#N/A</v>
      </c>
      <c r="H511" s="27" t="s">
        <v>404</v>
      </c>
      <c r="I511" s="29" t="str">
        <f t="shared" si="8"/>
        <v>061601512032025</v>
      </c>
      <c r="J511" s="141" t="s">
        <v>634</v>
      </c>
      <c r="K511" s="141" t="s">
        <v>586</v>
      </c>
      <c r="L511" s="141" t="s">
        <v>469</v>
      </c>
      <c r="M511" s="106" t="s">
        <v>586</v>
      </c>
      <c r="N511" s="107" t="s">
        <v>494</v>
      </c>
      <c r="O511" s="107" t="s">
        <v>493</v>
      </c>
      <c r="P511" s="26" t="s">
        <v>92</v>
      </c>
      <c r="Q511" s="26"/>
      <c r="R511" s="73" t="s">
        <v>1402</v>
      </c>
    </row>
    <row r="512" spans="1:18" hidden="1" x14ac:dyDescent="0.2">
      <c r="A512" s="15" t="s">
        <v>91</v>
      </c>
      <c r="B512" s="16" t="s">
        <v>2</v>
      </c>
      <c r="C512" s="16" t="s">
        <v>30</v>
      </c>
      <c r="D512" s="14" t="s">
        <v>1195</v>
      </c>
      <c r="E512" s="14" t="s">
        <v>407</v>
      </c>
      <c r="F512" s="14" t="e">
        <f>VLOOKUP(I512,'Трансп. каталог'!$F$3:$I$743,2,0)</f>
        <v>#N/A</v>
      </c>
      <c r="G512" s="64" t="e">
        <f>VLOOKUP(I512,'Трансп. каталог'!$F$3:$I$743,3,0)</f>
        <v>#N/A</v>
      </c>
      <c r="H512" s="15" t="s">
        <v>408</v>
      </c>
      <c r="I512" s="17" t="str">
        <f t="shared" si="8"/>
        <v>061601512042025</v>
      </c>
      <c r="J512" s="92" t="s">
        <v>558</v>
      </c>
      <c r="K512" s="92" t="s">
        <v>527</v>
      </c>
      <c r="L512" s="92" t="s">
        <v>528</v>
      </c>
      <c r="M512" s="96" t="s">
        <v>527</v>
      </c>
      <c r="N512" s="97" t="s">
        <v>703</v>
      </c>
      <c r="O512" s="97" t="s">
        <v>1372</v>
      </c>
      <c r="P512" s="14" t="s">
        <v>92</v>
      </c>
      <c r="Q512" s="14"/>
      <c r="R512" s="73" t="s">
        <v>1402</v>
      </c>
    </row>
    <row r="513" spans="1:18" hidden="1" x14ac:dyDescent="0.2">
      <c r="A513" s="18" t="s">
        <v>91</v>
      </c>
      <c r="B513" s="3" t="s">
        <v>2</v>
      </c>
      <c r="C513" s="3" t="s">
        <v>30</v>
      </c>
      <c r="D513" s="2" t="s">
        <v>1195</v>
      </c>
      <c r="E513" s="2" t="s">
        <v>411</v>
      </c>
      <c r="F513" s="2" t="e">
        <f>VLOOKUP(I513,'Трансп. каталог'!$F$3:$I$743,2,0)</f>
        <v>#N/A</v>
      </c>
      <c r="G513" s="65" t="e">
        <f>VLOOKUP(I513,'Трансп. каталог'!$F$3:$I$743,3,0)</f>
        <v>#N/A</v>
      </c>
      <c r="H513" s="18" t="s">
        <v>412</v>
      </c>
      <c r="I513" s="19" t="str">
        <f t="shared" si="8"/>
        <v>061601512052025</v>
      </c>
      <c r="J513" s="93" t="s">
        <v>530</v>
      </c>
      <c r="K513" s="93" t="s">
        <v>529</v>
      </c>
      <c r="L513" s="93" t="s">
        <v>482</v>
      </c>
      <c r="M513" s="99" t="s">
        <v>529</v>
      </c>
      <c r="N513" s="95" t="s">
        <v>667</v>
      </c>
      <c r="O513" s="95" t="s">
        <v>696</v>
      </c>
      <c r="P513" s="2" t="s">
        <v>92</v>
      </c>
      <c r="Q513" s="2"/>
      <c r="R513" s="74" t="s">
        <v>1402</v>
      </c>
    </row>
    <row r="514" spans="1:18" hidden="1" x14ac:dyDescent="0.2">
      <c r="A514" s="35" t="s">
        <v>91</v>
      </c>
      <c r="B514" s="36" t="s">
        <v>2</v>
      </c>
      <c r="C514" s="36" t="s">
        <v>30</v>
      </c>
      <c r="D514" s="34" t="s">
        <v>1195</v>
      </c>
      <c r="E514" s="34" t="s">
        <v>415</v>
      </c>
      <c r="F514" s="34" t="e">
        <f>VLOOKUP(I514,'Трансп. каталог'!$F$3:$I$743,2,0)</f>
        <v>#N/A</v>
      </c>
      <c r="G514" s="69" t="e">
        <f>VLOOKUP(I514,'Трансп. каталог'!$F$3:$I$743,3,0)</f>
        <v>#N/A</v>
      </c>
      <c r="H514" s="35" t="s">
        <v>416</v>
      </c>
      <c r="I514" s="37" t="str">
        <f t="shared" si="8"/>
        <v>061601512062025</v>
      </c>
      <c r="J514" s="228" t="s">
        <v>1370</v>
      </c>
      <c r="K514" s="228" t="s">
        <v>531</v>
      </c>
      <c r="L514" s="228" t="s">
        <v>473</v>
      </c>
      <c r="M514" s="163" t="s">
        <v>531</v>
      </c>
      <c r="N514" s="172" t="s">
        <v>594</v>
      </c>
      <c r="O514" s="172" t="s">
        <v>571</v>
      </c>
      <c r="P514" s="34" t="s">
        <v>92</v>
      </c>
      <c r="Q514" s="34"/>
      <c r="R514" s="76" t="s">
        <v>1402</v>
      </c>
    </row>
    <row r="515" spans="1:18" hidden="1" x14ac:dyDescent="0.2">
      <c r="A515" s="18" t="s">
        <v>91</v>
      </c>
      <c r="B515" s="3" t="s">
        <v>2</v>
      </c>
      <c r="C515" s="3" t="s">
        <v>30</v>
      </c>
      <c r="D515" s="2" t="s">
        <v>1195</v>
      </c>
      <c r="E515" s="2" t="s">
        <v>419</v>
      </c>
      <c r="F515" s="2" t="e">
        <f>VLOOKUP(I515,'Трансп. каталог'!$F$3:$I$743,2,0)</f>
        <v>#N/A</v>
      </c>
      <c r="G515" s="65" t="e">
        <f>VLOOKUP(I515,'Трансп. каталог'!$F$3:$I$743,3,0)</f>
        <v>#N/A</v>
      </c>
      <c r="H515" s="18" t="s">
        <v>420</v>
      </c>
      <c r="I515" s="19" t="str">
        <f t="shared" si="8"/>
        <v>061601512072025</v>
      </c>
      <c r="J515" s="93" t="s">
        <v>559</v>
      </c>
      <c r="K515" s="93" t="s">
        <v>533</v>
      </c>
      <c r="L515" s="93" t="s">
        <v>534</v>
      </c>
      <c r="M515" s="99" t="s">
        <v>533</v>
      </c>
      <c r="N515" s="95" t="s">
        <v>688</v>
      </c>
      <c r="O515" s="95" t="s">
        <v>1371</v>
      </c>
      <c r="P515" s="2" t="s">
        <v>92</v>
      </c>
      <c r="Q515" s="2"/>
      <c r="R515" s="74" t="s">
        <v>1402</v>
      </c>
    </row>
    <row r="516" spans="1:18" hidden="1" x14ac:dyDescent="0.2">
      <c r="A516" s="21" t="s">
        <v>91</v>
      </c>
      <c r="B516" s="22" t="s">
        <v>2</v>
      </c>
      <c r="C516" s="22" t="s">
        <v>30</v>
      </c>
      <c r="D516" s="20" t="s">
        <v>1195</v>
      </c>
      <c r="E516" s="20" t="s">
        <v>423</v>
      </c>
      <c r="F516" s="20" t="e">
        <f>VLOOKUP(I516,'Трансп. каталог'!$F$3:$I$743,2,0)</f>
        <v>#N/A</v>
      </c>
      <c r="G516" s="66" t="e">
        <f>VLOOKUP(I516,'Трансп. каталог'!$F$3:$I$743,3,0)</f>
        <v>#N/A</v>
      </c>
      <c r="H516" s="21" t="s">
        <v>424</v>
      </c>
      <c r="I516" s="23" t="str">
        <f t="shared" si="8"/>
        <v>061601512082025</v>
      </c>
      <c r="J516" s="42" t="s">
        <v>536</v>
      </c>
      <c r="K516" s="42" t="s">
        <v>535</v>
      </c>
      <c r="L516" s="42" t="s">
        <v>581</v>
      </c>
      <c r="M516" s="102" t="s">
        <v>535</v>
      </c>
      <c r="N516" s="103" t="s">
        <v>490</v>
      </c>
      <c r="O516" s="103" t="s">
        <v>484</v>
      </c>
      <c r="P516" s="20" t="s">
        <v>92</v>
      </c>
      <c r="Q516" s="20"/>
      <c r="R516" s="75" t="s">
        <v>1402</v>
      </c>
    </row>
    <row r="517" spans="1:18" hidden="1" x14ac:dyDescent="0.2">
      <c r="A517" s="27" t="s">
        <v>91</v>
      </c>
      <c r="B517" s="28" t="s">
        <v>2</v>
      </c>
      <c r="C517" s="28" t="s">
        <v>30</v>
      </c>
      <c r="D517" s="26" t="s">
        <v>1195</v>
      </c>
      <c r="E517" s="26" t="s">
        <v>427</v>
      </c>
      <c r="F517" s="26" t="e">
        <f>VLOOKUP(I517,'Трансп. каталог'!$F$3:$I$743,2,0)</f>
        <v>#N/A</v>
      </c>
      <c r="G517" s="68" t="e">
        <f>VLOOKUP(I517,'Трансп. каталог'!$F$3:$I$743,3,0)</f>
        <v>#N/A</v>
      </c>
      <c r="H517" s="27" t="s">
        <v>428</v>
      </c>
      <c r="I517" s="29" t="str">
        <f t="shared" si="8"/>
        <v>061601512092025</v>
      </c>
      <c r="J517" s="44" t="s">
        <v>561</v>
      </c>
      <c r="K517" s="44" t="s">
        <v>537</v>
      </c>
      <c r="L517" s="44" t="s">
        <v>538</v>
      </c>
      <c r="M517" s="106" t="s">
        <v>537</v>
      </c>
      <c r="N517" s="107" t="s">
        <v>1394</v>
      </c>
      <c r="O517" s="107" t="s">
        <v>1394</v>
      </c>
      <c r="P517" s="26" t="s">
        <v>92</v>
      </c>
      <c r="Q517" s="26"/>
      <c r="R517" s="72" t="s">
        <v>1402</v>
      </c>
    </row>
    <row r="518" spans="1:18" hidden="1" x14ac:dyDescent="0.2">
      <c r="A518" s="15" t="s">
        <v>91</v>
      </c>
      <c r="B518" s="16" t="s">
        <v>2</v>
      </c>
      <c r="C518" s="16" t="s">
        <v>30</v>
      </c>
      <c r="D518" s="14" t="s">
        <v>1195</v>
      </c>
      <c r="E518" s="14" t="s">
        <v>431</v>
      </c>
      <c r="F518" s="14" t="e">
        <f>VLOOKUP(I518,'Трансп. каталог'!$F$3:$I$743,2,0)</f>
        <v>#N/A</v>
      </c>
      <c r="G518" s="64" t="e">
        <f>VLOOKUP(I518,'Трансп. каталог'!$F$3:$I$743,3,0)</f>
        <v>#N/A</v>
      </c>
      <c r="H518" s="15" t="s">
        <v>432</v>
      </c>
      <c r="I518" s="17" t="str">
        <f t="shared" si="8"/>
        <v>061601512102025</v>
      </c>
      <c r="J518" s="40" t="s">
        <v>562</v>
      </c>
      <c r="K518" s="40" t="s">
        <v>539</v>
      </c>
      <c r="L518" s="40" t="s">
        <v>587</v>
      </c>
      <c r="M518" s="96" t="s">
        <v>539</v>
      </c>
      <c r="N518" s="97" t="s">
        <v>639</v>
      </c>
      <c r="O518" s="97" t="s">
        <v>717</v>
      </c>
      <c r="P518" s="14" t="s">
        <v>92</v>
      </c>
      <c r="Q518" s="14"/>
      <c r="R518" s="73" t="s">
        <v>1402</v>
      </c>
    </row>
    <row r="519" spans="1:18" hidden="1" x14ac:dyDescent="0.2">
      <c r="A519" s="15" t="s">
        <v>91</v>
      </c>
      <c r="B519" s="16" t="s">
        <v>2</v>
      </c>
      <c r="C519" s="16" t="s">
        <v>30</v>
      </c>
      <c r="D519" s="14" t="s">
        <v>1195</v>
      </c>
      <c r="E519" s="14" t="s">
        <v>435</v>
      </c>
      <c r="F519" s="14" t="e">
        <f>VLOOKUP(I519,'Трансп. каталог'!$F$3:$I$743,2,0)</f>
        <v>#N/A</v>
      </c>
      <c r="G519" s="64" t="e">
        <f>VLOOKUP(I519,'Трансп. каталог'!$F$3:$I$743,3,0)</f>
        <v>#N/A</v>
      </c>
      <c r="H519" s="15" t="s">
        <v>436</v>
      </c>
      <c r="I519" s="17" t="str">
        <f t="shared" si="8"/>
        <v>061601512112025</v>
      </c>
      <c r="J519" s="40" t="s">
        <v>1369</v>
      </c>
      <c r="K519" s="40" t="s">
        <v>588</v>
      </c>
      <c r="L519" s="40" t="s">
        <v>583</v>
      </c>
      <c r="M519" s="96" t="s">
        <v>588</v>
      </c>
      <c r="N519" s="97" t="s">
        <v>588</v>
      </c>
      <c r="O519" s="97" t="s">
        <v>491</v>
      </c>
      <c r="P519" s="14" t="s">
        <v>92</v>
      </c>
      <c r="Q519" s="14"/>
      <c r="R519" s="73" t="s">
        <v>1402</v>
      </c>
    </row>
    <row r="520" spans="1:18" hidden="1" x14ac:dyDescent="0.2">
      <c r="A520" s="21" t="s">
        <v>91</v>
      </c>
      <c r="B520" s="22" t="s">
        <v>2</v>
      </c>
      <c r="C520" s="22" t="s">
        <v>30</v>
      </c>
      <c r="D520" s="20" t="s">
        <v>1195</v>
      </c>
      <c r="E520" s="20" t="s">
        <v>439</v>
      </c>
      <c r="F520" s="20" t="e">
        <f>VLOOKUP(I520,'Трансп. каталог'!$F$3:$I$743,2,0)</f>
        <v>#N/A</v>
      </c>
      <c r="G520" s="66" t="e">
        <f>VLOOKUP(I520,'Трансп. каталог'!$F$3:$I$743,3,0)</f>
        <v>#N/A</v>
      </c>
      <c r="H520" s="21" t="s">
        <v>440</v>
      </c>
      <c r="I520" s="23" t="str">
        <f t="shared" si="8"/>
        <v>061601512122025</v>
      </c>
      <c r="J520" s="42" t="s">
        <v>564</v>
      </c>
      <c r="K520" s="42" t="s">
        <v>541</v>
      </c>
      <c r="L520" s="42" t="s">
        <v>542</v>
      </c>
      <c r="M520" s="102" t="s">
        <v>541</v>
      </c>
      <c r="N520" s="103" t="s">
        <v>1395</v>
      </c>
      <c r="O520" s="103" t="s">
        <v>1395</v>
      </c>
      <c r="P520" s="20" t="s">
        <v>92</v>
      </c>
      <c r="Q520" s="20"/>
      <c r="R520" s="75" t="s">
        <v>1402</v>
      </c>
    </row>
    <row r="521" spans="1:18" hidden="1" x14ac:dyDescent="0.2">
      <c r="A521" s="24" t="s">
        <v>93</v>
      </c>
      <c r="B521" s="5" t="s">
        <v>2</v>
      </c>
      <c r="C521" s="5" t="s">
        <v>30</v>
      </c>
      <c r="D521" s="4" t="s">
        <v>1221</v>
      </c>
      <c r="E521" s="4" t="s">
        <v>395</v>
      </c>
      <c r="F521" s="4" t="str">
        <f>VLOOKUP(I521,'Трансп. каталог'!$F$3:$I$743,2,0)</f>
        <v>23.12.2024 - 27.12.2024</v>
      </c>
      <c r="G521" s="67">
        <f>VLOOKUP(I521,'Трансп. каталог'!$F$3:$I$743,3,0)</f>
        <v>0</v>
      </c>
      <c r="H521" s="24" t="s">
        <v>396</v>
      </c>
      <c r="I521" s="25" t="str">
        <f t="shared" si="8"/>
        <v>061601612012025</v>
      </c>
      <c r="J521" s="110" t="s">
        <v>709</v>
      </c>
      <c r="K521" s="110" t="s">
        <v>464</v>
      </c>
      <c r="L521" s="110" t="s">
        <v>508</v>
      </c>
      <c r="M521" s="104" t="s">
        <v>464</v>
      </c>
      <c r="N521" s="105" t="s">
        <v>705</v>
      </c>
      <c r="O521" s="105" t="s">
        <v>666</v>
      </c>
      <c r="P521" s="4" t="s">
        <v>92</v>
      </c>
      <c r="Q521" s="4"/>
      <c r="R521" s="71" t="s">
        <v>1402</v>
      </c>
    </row>
    <row r="522" spans="1:18" hidden="1" x14ac:dyDescent="0.2">
      <c r="A522" s="27" t="s">
        <v>93</v>
      </c>
      <c r="B522" s="28" t="s">
        <v>2</v>
      </c>
      <c r="C522" s="28" t="s">
        <v>30</v>
      </c>
      <c r="D522" s="26" t="s">
        <v>1221</v>
      </c>
      <c r="E522" s="26" t="s">
        <v>399</v>
      </c>
      <c r="F522" s="26" t="e">
        <f>VLOOKUP(I522,'Трансп. каталог'!$F$3:$I$743,2,0)</f>
        <v>#N/A</v>
      </c>
      <c r="G522" s="68" t="e">
        <f>VLOOKUP(I522,'Трансп. каталог'!$F$3:$I$743,3,0)</f>
        <v>#N/A</v>
      </c>
      <c r="H522" s="27" t="s">
        <v>400</v>
      </c>
      <c r="I522" s="29" t="str">
        <f t="shared" si="8"/>
        <v>061601612022025</v>
      </c>
      <c r="J522" s="141" t="s">
        <v>636</v>
      </c>
      <c r="K522" s="141" t="s">
        <v>585</v>
      </c>
      <c r="L522" s="141" t="s">
        <v>471</v>
      </c>
      <c r="M522" s="106" t="s">
        <v>585</v>
      </c>
      <c r="N522" s="107" t="s">
        <v>669</v>
      </c>
      <c r="O522" s="107" t="s">
        <v>610</v>
      </c>
      <c r="P522" s="26" t="s">
        <v>92</v>
      </c>
      <c r="Q522" s="26"/>
      <c r="R522" s="72" t="s">
        <v>1402</v>
      </c>
    </row>
    <row r="523" spans="1:18" hidden="1" x14ac:dyDescent="0.2">
      <c r="A523" s="18" t="s">
        <v>93</v>
      </c>
      <c r="B523" s="3" t="s">
        <v>2</v>
      </c>
      <c r="C523" s="3" t="s">
        <v>30</v>
      </c>
      <c r="D523" s="2" t="s">
        <v>1221</v>
      </c>
      <c r="E523" s="2" t="s">
        <v>403</v>
      </c>
      <c r="F523" s="2" t="e">
        <f>VLOOKUP(I523,'Трансп. каталог'!$F$3:$I$743,2,0)</f>
        <v>#N/A</v>
      </c>
      <c r="G523" s="65" t="e">
        <f>VLOOKUP(I523,'Трансп. каталог'!$F$3:$I$743,3,0)</f>
        <v>#N/A</v>
      </c>
      <c r="H523" s="18" t="s">
        <v>404</v>
      </c>
      <c r="I523" s="19" t="str">
        <f t="shared" si="8"/>
        <v>061601612032025</v>
      </c>
      <c r="J523" s="93" t="s">
        <v>634</v>
      </c>
      <c r="K523" s="93" t="s">
        <v>586</v>
      </c>
      <c r="L523" s="93" t="s">
        <v>469</v>
      </c>
      <c r="M523" s="99" t="s">
        <v>586</v>
      </c>
      <c r="N523" s="95" t="s">
        <v>586</v>
      </c>
      <c r="O523" s="95" t="s">
        <v>493</v>
      </c>
      <c r="P523" s="2" t="s">
        <v>92</v>
      </c>
      <c r="Q523" s="2"/>
      <c r="R523" s="74" t="s">
        <v>1402</v>
      </c>
    </row>
    <row r="524" spans="1:18" hidden="1" x14ac:dyDescent="0.2">
      <c r="A524" s="21" t="s">
        <v>93</v>
      </c>
      <c r="B524" s="22" t="s">
        <v>2</v>
      </c>
      <c r="C524" s="22" t="s">
        <v>30</v>
      </c>
      <c r="D524" s="20" t="s">
        <v>1221</v>
      </c>
      <c r="E524" s="20" t="s">
        <v>407</v>
      </c>
      <c r="F524" s="20" t="e">
        <f>VLOOKUP(I524,'Трансп. каталог'!$F$3:$I$743,2,0)</f>
        <v>#N/A</v>
      </c>
      <c r="G524" s="66" t="e">
        <f>VLOOKUP(I524,'Трансп. каталог'!$F$3:$I$743,3,0)</f>
        <v>#N/A</v>
      </c>
      <c r="H524" s="21" t="s">
        <v>408</v>
      </c>
      <c r="I524" s="23" t="str">
        <f t="shared" si="8"/>
        <v>061601612042025</v>
      </c>
      <c r="J524" s="94" t="s">
        <v>558</v>
      </c>
      <c r="K524" s="94" t="s">
        <v>527</v>
      </c>
      <c r="L524" s="94" t="s">
        <v>528</v>
      </c>
      <c r="M524" s="166" t="s">
        <v>527</v>
      </c>
      <c r="N524" s="173" t="s">
        <v>703</v>
      </c>
      <c r="O524" s="173" t="s">
        <v>1372</v>
      </c>
      <c r="P524" s="20" t="s">
        <v>92</v>
      </c>
      <c r="Q524" s="20"/>
      <c r="R524" s="74" t="s">
        <v>1402</v>
      </c>
    </row>
    <row r="525" spans="1:18" hidden="1" x14ac:dyDescent="0.2">
      <c r="A525" s="24" t="s">
        <v>93</v>
      </c>
      <c r="B525" s="5" t="s">
        <v>2</v>
      </c>
      <c r="C525" s="5" t="s">
        <v>30</v>
      </c>
      <c r="D525" s="4" t="s">
        <v>1221</v>
      </c>
      <c r="E525" s="4" t="s">
        <v>411</v>
      </c>
      <c r="F525" s="4" t="e">
        <f>VLOOKUP(I525,'Трансп. каталог'!$F$3:$I$743,2,0)</f>
        <v>#N/A</v>
      </c>
      <c r="G525" s="67" t="e">
        <f>VLOOKUP(I525,'Трансп. каталог'!$F$3:$I$743,3,0)</f>
        <v>#N/A</v>
      </c>
      <c r="H525" s="24" t="s">
        <v>412</v>
      </c>
      <c r="I525" s="25" t="str">
        <f t="shared" si="8"/>
        <v>061601612052025</v>
      </c>
      <c r="J525" s="110" t="s">
        <v>530</v>
      </c>
      <c r="K525" s="110" t="s">
        <v>529</v>
      </c>
      <c r="L525" s="110" t="s">
        <v>482</v>
      </c>
      <c r="M525" s="111" t="s">
        <v>529</v>
      </c>
      <c r="N525" s="112" t="s">
        <v>667</v>
      </c>
      <c r="O525" s="112" t="s">
        <v>696</v>
      </c>
      <c r="P525" s="4" t="s">
        <v>92</v>
      </c>
      <c r="Q525" s="4"/>
      <c r="R525" s="74" t="s">
        <v>1402</v>
      </c>
    </row>
    <row r="526" spans="1:18" hidden="1" x14ac:dyDescent="0.2">
      <c r="A526" s="24" t="s">
        <v>93</v>
      </c>
      <c r="B526" s="5" t="s">
        <v>2</v>
      </c>
      <c r="C526" s="5" t="s">
        <v>30</v>
      </c>
      <c r="D526" s="4" t="s">
        <v>1221</v>
      </c>
      <c r="E526" s="4" t="s">
        <v>415</v>
      </c>
      <c r="F526" s="4" t="e">
        <f>VLOOKUP(I526,'Трансп. каталог'!$F$3:$I$743,2,0)</f>
        <v>#N/A</v>
      </c>
      <c r="G526" s="67" t="e">
        <f>VLOOKUP(I526,'Трансп. каталог'!$F$3:$I$743,3,0)</f>
        <v>#N/A</v>
      </c>
      <c r="H526" s="24" t="s">
        <v>416</v>
      </c>
      <c r="I526" s="25" t="str">
        <f t="shared" si="8"/>
        <v>061601612062025</v>
      </c>
      <c r="J526" s="43" t="s">
        <v>1370</v>
      </c>
      <c r="K526" s="43" t="s">
        <v>531</v>
      </c>
      <c r="L526" s="43" t="s">
        <v>473</v>
      </c>
      <c r="M526" s="111" t="s">
        <v>531</v>
      </c>
      <c r="N526" s="112" t="s">
        <v>594</v>
      </c>
      <c r="O526" s="112" t="s">
        <v>571</v>
      </c>
      <c r="P526" s="4" t="s">
        <v>92</v>
      </c>
      <c r="Q526" s="4"/>
      <c r="R526" s="74" t="s">
        <v>1402</v>
      </c>
    </row>
    <row r="527" spans="1:18" hidden="1" x14ac:dyDescent="0.2">
      <c r="A527" s="24" t="s">
        <v>93</v>
      </c>
      <c r="B527" s="5" t="s">
        <v>2</v>
      </c>
      <c r="C527" s="5" t="s">
        <v>30</v>
      </c>
      <c r="D527" s="4" t="s">
        <v>1221</v>
      </c>
      <c r="E527" s="4" t="s">
        <v>419</v>
      </c>
      <c r="F527" s="4" t="e">
        <f>VLOOKUP(I527,'Трансп. каталог'!$F$3:$I$743,2,0)</f>
        <v>#N/A</v>
      </c>
      <c r="G527" s="67" t="e">
        <f>VLOOKUP(I527,'Трансп. каталог'!$F$3:$I$743,3,0)</f>
        <v>#N/A</v>
      </c>
      <c r="H527" s="24" t="s">
        <v>420</v>
      </c>
      <c r="I527" s="25" t="str">
        <f t="shared" si="8"/>
        <v>061601612072025</v>
      </c>
      <c r="J527" s="43" t="s">
        <v>559</v>
      </c>
      <c r="K527" s="43" t="s">
        <v>533</v>
      </c>
      <c r="L527" s="43" t="s">
        <v>534</v>
      </c>
      <c r="M527" s="111" t="s">
        <v>533</v>
      </c>
      <c r="N527" s="112" t="s">
        <v>688</v>
      </c>
      <c r="O527" s="112" t="s">
        <v>1371</v>
      </c>
      <c r="P527" s="4" t="s">
        <v>92</v>
      </c>
      <c r="Q527" s="4"/>
      <c r="R527" s="74" t="s">
        <v>1402</v>
      </c>
    </row>
    <row r="528" spans="1:18" hidden="1" x14ac:dyDescent="0.2">
      <c r="A528" s="24" t="s">
        <v>93</v>
      </c>
      <c r="B528" s="5" t="s">
        <v>2</v>
      </c>
      <c r="C528" s="5" t="s">
        <v>30</v>
      </c>
      <c r="D528" s="4" t="s">
        <v>1221</v>
      </c>
      <c r="E528" s="4" t="s">
        <v>423</v>
      </c>
      <c r="F528" s="4" t="e">
        <f>VLOOKUP(I528,'Трансп. каталог'!$F$3:$I$743,2,0)</f>
        <v>#N/A</v>
      </c>
      <c r="G528" s="67" t="e">
        <f>VLOOKUP(I528,'Трансп. каталог'!$F$3:$I$743,3,0)</f>
        <v>#N/A</v>
      </c>
      <c r="H528" s="24" t="s">
        <v>424</v>
      </c>
      <c r="I528" s="25" t="str">
        <f t="shared" si="8"/>
        <v>061601612082025</v>
      </c>
      <c r="J528" s="43" t="s">
        <v>536</v>
      </c>
      <c r="K528" s="43" t="s">
        <v>535</v>
      </c>
      <c r="L528" s="43" t="s">
        <v>581</v>
      </c>
      <c r="M528" s="111" t="s">
        <v>535</v>
      </c>
      <c r="N528" s="112" t="s">
        <v>490</v>
      </c>
      <c r="O528" s="112" t="s">
        <v>484</v>
      </c>
      <c r="P528" s="4" t="s">
        <v>92</v>
      </c>
      <c r="Q528" s="4"/>
      <c r="R528" s="74" t="s">
        <v>1402</v>
      </c>
    </row>
    <row r="529" spans="1:18" hidden="1" x14ac:dyDescent="0.2">
      <c r="A529" s="24" t="s">
        <v>93</v>
      </c>
      <c r="B529" s="5" t="s">
        <v>2</v>
      </c>
      <c r="C529" s="5" t="s">
        <v>30</v>
      </c>
      <c r="D529" s="4" t="s">
        <v>1221</v>
      </c>
      <c r="E529" s="4" t="s">
        <v>427</v>
      </c>
      <c r="F529" s="4" t="e">
        <f>VLOOKUP(I529,'Трансп. каталог'!$F$3:$I$743,2,0)</f>
        <v>#N/A</v>
      </c>
      <c r="G529" s="67" t="e">
        <f>VLOOKUP(I529,'Трансп. каталог'!$F$3:$I$743,3,0)</f>
        <v>#N/A</v>
      </c>
      <c r="H529" s="24" t="s">
        <v>428</v>
      </c>
      <c r="I529" s="25" t="str">
        <f t="shared" si="8"/>
        <v>061601612092025</v>
      </c>
      <c r="J529" s="43" t="s">
        <v>561</v>
      </c>
      <c r="K529" s="43" t="s">
        <v>537</v>
      </c>
      <c r="L529" s="43" t="s">
        <v>538</v>
      </c>
      <c r="M529" s="111" t="s">
        <v>537</v>
      </c>
      <c r="N529" s="112" t="s">
        <v>1394</v>
      </c>
      <c r="O529" s="112" t="s">
        <v>1394</v>
      </c>
      <c r="P529" s="4" t="s">
        <v>92</v>
      </c>
      <c r="Q529" s="4"/>
      <c r="R529" s="74" t="s">
        <v>1402</v>
      </c>
    </row>
    <row r="530" spans="1:18" hidden="1" x14ac:dyDescent="0.2">
      <c r="A530" s="24" t="s">
        <v>93</v>
      </c>
      <c r="B530" s="5" t="s">
        <v>2</v>
      </c>
      <c r="C530" s="5" t="s">
        <v>30</v>
      </c>
      <c r="D530" s="4" t="s">
        <v>1221</v>
      </c>
      <c r="E530" s="4" t="s">
        <v>431</v>
      </c>
      <c r="F530" s="4" t="e">
        <f>VLOOKUP(I530,'Трансп. каталог'!$F$3:$I$743,2,0)</f>
        <v>#N/A</v>
      </c>
      <c r="G530" s="67" t="e">
        <f>VLOOKUP(I530,'Трансп. каталог'!$F$3:$I$743,3,0)</f>
        <v>#N/A</v>
      </c>
      <c r="H530" s="24" t="s">
        <v>432</v>
      </c>
      <c r="I530" s="25" t="str">
        <f t="shared" si="8"/>
        <v>061601612102025</v>
      </c>
      <c r="J530" s="43" t="s">
        <v>562</v>
      </c>
      <c r="K530" s="43" t="s">
        <v>539</v>
      </c>
      <c r="L530" s="43" t="s">
        <v>587</v>
      </c>
      <c r="M530" s="111" t="s">
        <v>539</v>
      </c>
      <c r="N530" s="112" t="s">
        <v>639</v>
      </c>
      <c r="O530" s="112" t="s">
        <v>717</v>
      </c>
      <c r="P530" s="4" t="s">
        <v>92</v>
      </c>
      <c r="Q530" s="4"/>
      <c r="R530" s="74" t="s">
        <v>1402</v>
      </c>
    </row>
    <row r="531" spans="1:18" hidden="1" x14ac:dyDescent="0.2">
      <c r="A531" s="24" t="s">
        <v>93</v>
      </c>
      <c r="B531" s="5" t="s">
        <v>2</v>
      </c>
      <c r="C531" s="5" t="s">
        <v>30</v>
      </c>
      <c r="D531" s="4" t="s">
        <v>1221</v>
      </c>
      <c r="E531" s="4" t="s">
        <v>435</v>
      </c>
      <c r="F531" s="4" t="e">
        <f>VLOOKUP(I531,'Трансп. каталог'!$F$3:$I$743,2,0)</f>
        <v>#N/A</v>
      </c>
      <c r="G531" s="67" t="e">
        <f>VLOOKUP(I531,'Трансп. каталог'!$F$3:$I$743,3,0)</f>
        <v>#N/A</v>
      </c>
      <c r="H531" s="24" t="s">
        <v>436</v>
      </c>
      <c r="I531" s="25" t="str">
        <f t="shared" ref="I531:I582" si="9">CONCATENATE(A531,H531)</f>
        <v>061601612112025</v>
      </c>
      <c r="J531" s="43" t="s">
        <v>1369</v>
      </c>
      <c r="K531" s="43" t="s">
        <v>588</v>
      </c>
      <c r="L531" s="43" t="s">
        <v>583</v>
      </c>
      <c r="M531" s="111" t="s">
        <v>588</v>
      </c>
      <c r="N531" s="112" t="s">
        <v>613</v>
      </c>
      <c r="O531" s="112" t="s">
        <v>491</v>
      </c>
      <c r="P531" s="4" t="s">
        <v>92</v>
      </c>
      <c r="Q531" s="4"/>
      <c r="R531" s="74" t="s">
        <v>1402</v>
      </c>
    </row>
    <row r="532" spans="1:18" hidden="1" x14ac:dyDescent="0.2">
      <c r="A532" s="24" t="s">
        <v>93</v>
      </c>
      <c r="B532" s="5" t="s">
        <v>2</v>
      </c>
      <c r="C532" s="5" t="s">
        <v>30</v>
      </c>
      <c r="D532" s="4" t="s">
        <v>1221</v>
      </c>
      <c r="E532" s="4" t="s">
        <v>439</v>
      </c>
      <c r="F532" s="4" t="e">
        <f>VLOOKUP(I532,'Трансп. каталог'!$F$3:$I$743,2,0)</f>
        <v>#N/A</v>
      </c>
      <c r="G532" s="67" t="e">
        <f>VLOOKUP(I532,'Трансп. каталог'!$F$3:$I$743,3,0)</f>
        <v>#N/A</v>
      </c>
      <c r="H532" s="24" t="s">
        <v>440</v>
      </c>
      <c r="I532" s="25" t="str">
        <f t="shared" si="9"/>
        <v>061601612122025</v>
      </c>
      <c r="J532" s="43" t="s">
        <v>564</v>
      </c>
      <c r="K532" s="43" t="s">
        <v>541</v>
      </c>
      <c r="L532" s="43" t="s">
        <v>542</v>
      </c>
      <c r="M532" s="111" t="s">
        <v>541</v>
      </c>
      <c r="N532" s="112" t="s">
        <v>1366</v>
      </c>
      <c r="O532" s="112" t="s">
        <v>1366</v>
      </c>
      <c r="P532" s="4" t="s">
        <v>92</v>
      </c>
      <c r="Q532" s="4"/>
      <c r="R532" s="74" t="s">
        <v>1402</v>
      </c>
    </row>
    <row r="533" spans="1:18" hidden="1" x14ac:dyDescent="0.2">
      <c r="A533" s="24" t="s">
        <v>94</v>
      </c>
      <c r="B533" s="5" t="s">
        <v>2</v>
      </c>
      <c r="C533" s="5" t="s">
        <v>30</v>
      </c>
      <c r="D533" s="4" t="s">
        <v>1231</v>
      </c>
      <c r="E533" s="4" t="s">
        <v>395</v>
      </c>
      <c r="F533" s="4" t="str">
        <f>VLOOKUP(I533,'Трансп. каталог'!$F$3:$I$743,2,0)</f>
        <v>23.12.2024 - 27.12.2024</v>
      </c>
      <c r="G533" s="67">
        <f>VLOOKUP(I533,'Трансп. каталог'!$F$3:$I$743,3,0)</f>
        <v>0</v>
      </c>
      <c r="H533" s="24" t="s">
        <v>396</v>
      </c>
      <c r="I533" s="25" t="str">
        <f t="shared" si="9"/>
        <v>061601712012025</v>
      </c>
      <c r="J533" s="110" t="s">
        <v>709</v>
      </c>
      <c r="K533" s="110" t="s">
        <v>464</v>
      </c>
      <c r="L533" s="110" t="s">
        <v>508</v>
      </c>
      <c r="M533" s="104" t="s">
        <v>464</v>
      </c>
      <c r="N533" s="105" t="s">
        <v>705</v>
      </c>
      <c r="O533" s="105" t="s">
        <v>666</v>
      </c>
      <c r="P533" s="4" t="s">
        <v>92</v>
      </c>
      <c r="Q533" s="4"/>
      <c r="R533" s="74" t="s">
        <v>1402</v>
      </c>
    </row>
    <row r="534" spans="1:18" hidden="1" x14ac:dyDescent="0.2">
      <c r="A534" s="27" t="s">
        <v>94</v>
      </c>
      <c r="B534" s="28" t="s">
        <v>2</v>
      </c>
      <c r="C534" s="28" t="s">
        <v>30</v>
      </c>
      <c r="D534" s="26" t="s">
        <v>1231</v>
      </c>
      <c r="E534" s="26" t="s">
        <v>399</v>
      </c>
      <c r="F534" s="26" t="e">
        <f>VLOOKUP(I534,'Трансп. каталог'!$F$3:$I$743,2,0)</f>
        <v>#N/A</v>
      </c>
      <c r="G534" s="68" t="e">
        <f>VLOOKUP(I534,'Трансп. каталог'!$F$3:$I$743,3,0)</f>
        <v>#N/A</v>
      </c>
      <c r="H534" s="27" t="s">
        <v>400</v>
      </c>
      <c r="I534" s="29" t="str">
        <f t="shared" si="9"/>
        <v>061601712022025</v>
      </c>
      <c r="J534" s="141" t="s">
        <v>636</v>
      </c>
      <c r="K534" s="141" t="s">
        <v>585</v>
      </c>
      <c r="L534" s="141" t="s">
        <v>471</v>
      </c>
      <c r="M534" s="106" t="s">
        <v>585</v>
      </c>
      <c r="N534" s="107" t="s">
        <v>669</v>
      </c>
      <c r="O534" s="107" t="s">
        <v>610</v>
      </c>
      <c r="P534" s="26" t="s">
        <v>92</v>
      </c>
      <c r="Q534" s="26"/>
      <c r="R534" s="74" t="s">
        <v>1402</v>
      </c>
    </row>
    <row r="535" spans="1:18" hidden="1" x14ac:dyDescent="0.2">
      <c r="A535" s="15" t="s">
        <v>94</v>
      </c>
      <c r="B535" s="16" t="s">
        <v>2</v>
      </c>
      <c r="C535" s="16" t="s">
        <v>30</v>
      </c>
      <c r="D535" s="14" t="s">
        <v>1231</v>
      </c>
      <c r="E535" s="14" t="s">
        <v>403</v>
      </c>
      <c r="F535" s="14" t="e">
        <f>VLOOKUP(I535,'Трансп. каталог'!$F$3:$I$743,2,0)</f>
        <v>#N/A</v>
      </c>
      <c r="G535" s="64" t="e">
        <f>VLOOKUP(I535,'Трансп. каталог'!$F$3:$I$743,3,0)</f>
        <v>#N/A</v>
      </c>
      <c r="H535" s="15" t="s">
        <v>404</v>
      </c>
      <c r="I535" s="17" t="str">
        <f t="shared" si="9"/>
        <v>061601712032025</v>
      </c>
      <c r="J535" s="92" t="s">
        <v>634</v>
      </c>
      <c r="K535" s="92" t="s">
        <v>586</v>
      </c>
      <c r="L535" s="92" t="s">
        <v>469</v>
      </c>
      <c r="M535" s="104" t="s">
        <v>586</v>
      </c>
      <c r="N535" s="105" t="s">
        <v>494</v>
      </c>
      <c r="O535" s="105" t="s">
        <v>493</v>
      </c>
      <c r="P535" s="14" t="s">
        <v>92</v>
      </c>
      <c r="Q535" s="14"/>
      <c r="R535" s="73" t="s">
        <v>1402</v>
      </c>
    </row>
    <row r="536" spans="1:18" hidden="1" x14ac:dyDescent="0.2">
      <c r="A536" s="15" t="s">
        <v>94</v>
      </c>
      <c r="B536" s="16" t="s">
        <v>2</v>
      </c>
      <c r="C536" s="16" t="s">
        <v>30</v>
      </c>
      <c r="D536" s="14" t="s">
        <v>1231</v>
      </c>
      <c r="E536" s="14" t="s">
        <v>407</v>
      </c>
      <c r="F536" s="14" t="e">
        <f>VLOOKUP(I536,'Трансп. каталог'!$F$3:$I$743,2,0)</f>
        <v>#N/A</v>
      </c>
      <c r="G536" s="64" t="e">
        <f>VLOOKUP(I536,'Трансп. каталог'!$F$3:$I$743,3,0)</f>
        <v>#N/A</v>
      </c>
      <c r="H536" s="15" t="s">
        <v>408</v>
      </c>
      <c r="I536" s="17" t="str">
        <f t="shared" si="9"/>
        <v>061601712042025</v>
      </c>
      <c r="J536" s="92" t="s">
        <v>558</v>
      </c>
      <c r="K536" s="92" t="s">
        <v>527</v>
      </c>
      <c r="L536" s="92" t="s">
        <v>528</v>
      </c>
      <c r="M536" s="104" t="s">
        <v>527</v>
      </c>
      <c r="N536" s="105" t="s">
        <v>527</v>
      </c>
      <c r="O536" s="105" t="s">
        <v>637</v>
      </c>
      <c r="P536" s="14" t="s">
        <v>92</v>
      </c>
      <c r="Q536" s="14"/>
      <c r="R536" s="73" t="s">
        <v>1402</v>
      </c>
    </row>
    <row r="537" spans="1:18" hidden="1" x14ac:dyDescent="0.2">
      <c r="A537" s="15" t="s">
        <v>94</v>
      </c>
      <c r="B537" s="16" t="s">
        <v>2</v>
      </c>
      <c r="C537" s="16" t="s">
        <v>30</v>
      </c>
      <c r="D537" s="14" t="s">
        <v>1231</v>
      </c>
      <c r="E537" s="14" t="s">
        <v>411</v>
      </c>
      <c r="F537" s="14" t="e">
        <f>VLOOKUP(I537,'Трансп. каталог'!$F$3:$I$743,2,0)</f>
        <v>#N/A</v>
      </c>
      <c r="G537" s="64" t="e">
        <f>VLOOKUP(I537,'Трансп. каталог'!$F$3:$I$743,3,0)</f>
        <v>#N/A</v>
      </c>
      <c r="H537" s="15" t="s">
        <v>412</v>
      </c>
      <c r="I537" s="17" t="str">
        <f t="shared" si="9"/>
        <v>061601712052025</v>
      </c>
      <c r="J537" s="92" t="s">
        <v>530</v>
      </c>
      <c r="K537" s="92" t="s">
        <v>529</v>
      </c>
      <c r="L537" s="92" t="s">
        <v>482</v>
      </c>
      <c r="M537" s="104" t="s">
        <v>529</v>
      </c>
      <c r="N537" s="105" t="s">
        <v>667</v>
      </c>
      <c r="O537" s="105" t="s">
        <v>696</v>
      </c>
      <c r="P537" s="14" t="s">
        <v>92</v>
      </c>
      <c r="Q537" s="14"/>
      <c r="R537" s="73" t="s">
        <v>1402</v>
      </c>
    </row>
    <row r="538" spans="1:18" hidden="1" x14ac:dyDescent="0.2">
      <c r="A538" s="15" t="s">
        <v>94</v>
      </c>
      <c r="B538" s="16" t="s">
        <v>2</v>
      </c>
      <c r="C538" s="16" t="s">
        <v>30</v>
      </c>
      <c r="D538" s="14" t="s">
        <v>1231</v>
      </c>
      <c r="E538" s="14" t="s">
        <v>415</v>
      </c>
      <c r="F538" s="14" t="e">
        <f>VLOOKUP(I538,'Трансп. каталог'!$F$3:$I$743,2,0)</f>
        <v>#N/A</v>
      </c>
      <c r="G538" s="64" t="e">
        <f>VLOOKUP(I538,'Трансп. каталог'!$F$3:$I$743,3,0)</f>
        <v>#N/A</v>
      </c>
      <c r="H538" s="15" t="s">
        <v>416</v>
      </c>
      <c r="I538" s="17" t="str">
        <f t="shared" si="9"/>
        <v>061601712062025</v>
      </c>
      <c r="J538" s="92" t="s">
        <v>1370</v>
      </c>
      <c r="K538" s="92" t="s">
        <v>531</v>
      </c>
      <c r="L538" s="92" t="s">
        <v>473</v>
      </c>
      <c r="M538" s="104" t="s">
        <v>531</v>
      </c>
      <c r="N538" s="105" t="s">
        <v>531</v>
      </c>
      <c r="O538" s="105" t="s">
        <v>571</v>
      </c>
      <c r="P538" s="14" t="s">
        <v>92</v>
      </c>
      <c r="Q538" s="14"/>
      <c r="R538" s="73" t="s">
        <v>1402</v>
      </c>
    </row>
    <row r="539" spans="1:18" hidden="1" x14ac:dyDescent="0.2">
      <c r="A539" s="15" t="s">
        <v>94</v>
      </c>
      <c r="B539" s="16" t="s">
        <v>2</v>
      </c>
      <c r="C539" s="16" t="s">
        <v>30</v>
      </c>
      <c r="D539" s="14" t="s">
        <v>1231</v>
      </c>
      <c r="E539" s="14" t="s">
        <v>419</v>
      </c>
      <c r="F539" s="14" t="e">
        <f>VLOOKUP(I539,'Трансп. каталог'!$F$3:$I$743,2,0)</f>
        <v>#N/A</v>
      </c>
      <c r="G539" s="64" t="e">
        <f>VLOOKUP(I539,'Трансп. каталог'!$F$3:$I$743,3,0)</f>
        <v>#N/A</v>
      </c>
      <c r="H539" s="15" t="s">
        <v>420</v>
      </c>
      <c r="I539" s="17" t="str">
        <f t="shared" si="9"/>
        <v>061601712072025</v>
      </c>
      <c r="J539" s="92" t="s">
        <v>559</v>
      </c>
      <c r="K539" s="92" t="s">
        <v>533</v>
      </c>
      <c r="L539" s="92" t="s">
        <v>534</v>
      </c>
      <c r="M539" s="104" t="s">
        <v>533</v>
      </c>
      <c r="N539" s="105" t="s">
        <v>688</v>
      </c>
      <c r="O539" s="105" t="s">
        <v>1371</v>
      </c>
      <c r="P539" s="14" t="s">
        <v>92</v>
      </c>
      <c r="Q539" s="14"/>
      <c r="R539" s="73" t="s">
        <v>1402</v>
      </c>
    </row>
    <row r="540" spans="1:18" hidden="1" x14ac:dyDescent="0.2">
      <c r="A540" s="15" t="s">
        <v>94</v>
      </c>
      <c r="B540" s="16" t="s">
        <v>2</v>
      </c>
      <c r="C540" s="16" t="s">
        <v>30</v>
      </c>
      <c r="D540" s="14" t="s">
        <v>1231</v>
      </c>
      <c r="E540" s="14" t="s">
        <v>423</v>
      </c>
      <c r="F540" s="14" t="e">
        <f>VLOOKUP(I540,'Трансп. каталог'!$F$3:$I$743,2,0)</f>
        <v>#N/A</v>
      </c>
      <c r="G540" s="64" t="e">
        <f>VLOOKUP(I540,'Трансп. каталог'!$F$3:$I$743,3,0)</f>
        <v>#N/A</v>
      </c>
      <c r="H540" s="15" t="s">
        <v>424</v>
      </c>
      <c r="I540" s="17" t="str">
        <f t="shared" si="9"/>
        <v>061601712082025</v>
      </c>
      <c r="J540" s="40" t="s">
        <v>536</v>
      </c>
      <c r="K540" s="40" t="s">
        <v>535</v>
      </c>
      <c r="L540" s="40" t="s">
        <v>581</v>
      </c>
      <c r="M540" s="104" t="s">
        <v>535</v>
      </c>
      <c r="N540" s="105" t="s">
        <v>490</v>
      </c>
      <c r="O540" s="105" t="s">
        <v>484</v>
      </c>
      <c r="P540" s="14" t="s">
        <v>92</v>
      </c>
      <c r="Q540" s="14"/>
      <c r="R540" s="73" t="s">
        <v>1402</v>
      </c>
    </row>
    <row r="541" spans="1:18" hidden="1" x14ac:dyDescent="0.2">
      <c r="A541" s="18" t="s">
        <v>94</v>
      </c>
      <c r="B541" s="3" t="s">
        <v>2</v>
      </c>
      <c r="C541" s="3" t="s">
        <v>30</v>
      </c>
      <c r="D541" s="2" t="s">
        <v>1231</v>
      </c>
      <c r="E541" s="2" t="s">
        <v>427</v>
      </c>
      <c r="F541" s="2" t="e">
        <f>VLOOKUP(I541,'Трансп. каталог'!$F$3:$I$743,2,0)</f>
        <v>#N/A</v>
      </c>
      <c r="G541" s="65" t="e">
        <f>VLOOKUP(I541,'Трансп. каталог'!$F$3:$I$743,3,0)</f>
        <v>#N/A</v>
      </c>
      <c r="H541" s="18" t="s">
        <v>428</v>
      </c>
      <c r="I541" s="19" t="str">
        <f t="shared" si="9"/>
        <v>061601712092025</v>
      </c>
      <c r="J541" s="41" t="s">
        <v>561</v>
      </c>
      <c r="K541" s="41" t="s">
        <v>537</v>
      </c>
      <c r="L541" s="41" t="s">
        <v>538</v>
      </c>
      <c r="M541" s="83" t="s">
        <v>537</v>
      </c>
      <c r="N541" s="88" t="s">
        <v>566</v>
      </c>
      <c r="O541" s="88" t="s">
        <v>1394</v>
      </c>
      <c r="P541" s="2" t="s">
        <v>92</v>
      </c>
      <c r="Q541" s="2"/>
      <c r="R541" s="74" t="s">
        <v>1402</v>
      </c>
    </row>
    <row r="542" spans="1:18" hidden="1" x14ac:dyDescent="0.2">
      <c r="A542" s="21" t="s">
        <v>94</v>
      </c>
      <c r="B542" s="22" t="s">
        <v>2</v>
      </c>
      <c r="C542" s="22" t="s">
        <v>30</v>
      </c>
      <c r="D542" s="20" t="s">
        <v>1231</v>
      </c>
      <c r="E542" s="20" t="s">
        <v>431</v>
      </c>
      <c r="F542" s="20" t="e">
        <f>VLOOKUP(I542,'Трансп. каталог'!$F$3:$I$743,2,0)</f>
        <v>#N/A</v>
      </c>
      <c r="G542" s="66" t="e">
        <f>VLOOKUP(I542,'Трансп. каталог'!$F$3:$I$743,3,0)</f>
        <v>#N/A</v>
      </c>
      <c r="H542" s="21" t="s">
        <v>432</v>
      </c>
      <c r="I542" s="23" t="str">
        <f t="shared" si="9"/>
        <v>061601712102025</v>
      </c>
      <c r="J542" s="42" t="s">
        <v>562</v>
      </c>
      <c r="K542" s="42" t="s">
        <v>539</v>
      </c>
      <c r="L542" s="42" t="s">
        <v>587</v>
      </c>
      <c r="M542" s="84" t="s">
        <v>539</v>
      </c>
      <c r="N542" s="89" t="s">
        <v>639</v>
      </c>
      <c r="O542" s="89" t="s">
        <v>717</v>
      </c>
      <c r="P542" s="20" t="s">
        <v>92</v>
      </c>
      <c r="Q542" s="20"/>
      <c r="R542" s="75" t="s">
        <v>1402</v>
      </c>
    </row>
    <row r="543" spans="1:18" hidden="1" x14ac:dyDescent="0.2">
      <c r="A543" s="24" t="s">
        <v>94</v>
      </c>
      <c r="B543" s="5" t="s">
        <v>2</v>
      </c>
      <c r="C543" s="5" t="s">
        <v>30</v>
      </c>
      <c r="D543" s="4" t="s">
        <v>1231</v>
      </c>
      <c r="E543" s="4" t="s">
        <v>435</v>
      </c>
      <c r="F543" s="4" t="e">
        <f>VLOOKUP(I543,'Трансп. каталог'!$F$3:$I$743,2,0)</f>
        <v>#N/A</v>
      </c>
      <c r="G543" s="67" t="e">
        <f>VLOOKUP(I543,'Трансп. каталог'!$F$3:$I$743,3,0)</f>
        <v>#N/A</v>
      </c>
      <c r="H543" s="24" t="s">
        <v>436</v>
      </c>
      <c r="I543" s="25" t="str">
        <f t="shared" si="9"/>
        <v>061601712112025</v>
      </c>
      <c r="J543" s="43" t="s">
        <v>1369</v>
      </c>
      <c r="K543" s="43" t="s">
        <v>588</v>
      </c>
      <c r="L543" s="43" t="s">
        <v>583</v>
      </c>
      <c r="M543" s="85" t="s">
        <v>588</v>
      </c>
      <c r="N543" s="90" t="s">
        <v>588</v>
      </c>
      <c r="O543" s="90" t="s">
        <v>491</v>
      </c>
      <c r="P543" s="4" t="s">
        <v>92</v>
      </c>
      <c r="Q543" s="4"/>
      <c r="R543" s="71" t="s">
        <v>1402</v>
      </c>
    </row>
    <row r="544" spans="1:18" hidden="1" x14ac:dyDescent="0.2">
      <c r="A544" s="24" t="s">
        <v>94</v>
      </c>
      <c r="B544" s="5" t="s">
        <v>2</v>
      </c>
      <c r="C544" s="5" t="s">
        <v>30</v>
      </c>
      <c r="D544" s="4" t="s">
        <v>1231</v>
      </c>
      <c r="E544" s="4" t="s">
        <v>439</v>
      </c>
      <c r="F544" s="4" t="e">
        <f>VLOOKUP(I544,'Трансп. каталог'!$F$3:$I$743,2,0)</f>
        <v>#N/A</v>
      </c>
      <c r="G544" s="67" t="e">
        <f>VLOOKUP(I544,'Трансп. каталог'!$F$3:$I$743,3,0)</f>
        <v>#N/A</v>
      </c>
      <c r="H544" s="24" t="s">
        <v>440</v>
      </c>
      <c r="I544" s="25" t="str">
        <f t="shared" si="9"/>
        <v>061601712122025</v>
      </c>
      <c r="J544" s="43" t="s">
        <v>564</v>
      </c>
      <c r="K544" s="43" t="s">
        <v>541</v>
      </c>
      <c r="L544" s="43" t="s">
        <v>542</v>
      </c>
      <c r="M544" s="85" t="s">
        <v>541</v>
      </c>
      <c r="N544" s="90" t="s">
        <v>568</v>
      </c>
      <c r="O544" s="90" t="s">
        <v>1395</v>
      </c>
      <c r="P544" s="4" t="s">
        <v>92</v>
      </c>
      <c r="Q544" s="4"/>
      <c r="R544" s="71" t="s">
        <v>1402</v>
      </c>
    </row>
    <row r="545" spans="1:18" hidden="1" x14ac:dyDescent="0.2">
      <c r="A545" s="24" t="s">
        <v>95</v>
      </c>
      <c r="B545" s="5" t="s">
        <v>2</v>
      </c>
      <c r="C545" s="5" t="s">
        <v>30</v>
      </c>
      <c r="D545" s="4" t="s">
        <v>1226</v>
      </c>
      <c r="E545" s="4" t="s">
        <v>395</v>
      </c>
      <c r="F545" s="4" t="str">
        <f>VLOOKUP(I545,'Трансп. каталог'!$F$3:$I$743,2,0)</f>
        <v>23.12.2024 - 27.12.2024</v>
      </c>
      <c r="G545" s="67">
        <f>VLOOKUP(I545,'Трансп. каталог'!$F$3:$I$743,3,0)</f>
        <v>0</v>
      </c>
      <c r="H545" s="24" t="s">
        <v>396</v>
      </c>
      <c r="I545" s="25" t="str">
        <f t="shared" si="9"/>
        <v>061601912012025</v>
      </c>
      <c r="J545" s="110" t="s">
        <v>709</v>
      </c>
      <c r="K545" s="110" t="s">
        <v>464</v>
      </c>
      <c r="L545" s="110" t="s">
        <v>508</v>
      </c>
      <c r="M545" s="139">
        <v>45673</v>
      </c>
      <c r="N545" s="105" t="s">
        <v>705</v>
      </c>
      <c r="O545" s="105" t="s">
        <v>666</v>
      </c>
      <c r="P545" s="4" t="s">
        <v>92</v>
      </c>
      <c r="Q545" s="4"/>
      <c r="R545" s="71" t="s">
        <v>1402</v>
      </c>
    </row>
    <row r="546" spans="1:18" hidden="1" x14ac:dyDescent="0.2">
      <c r="A546" s="24" t="s">
        <v>95</v>
      </c>
      <c r="B546" s="5" t="s">
        <v>2</v>
      </c>
      <c r="C546" s="5" t="s">
        <v>30</v>
      </c>
      <c r="D546" s="4" t="s">
        <v>1226</v>
      </c>
      <c r="E546" s="4" t="s">
        <v>399</v>
      </c>
      <c r="F546" s="4" t="e">
        <f>VLOOKUP(I546,'Трансп. каталог'!$F$3:$I$743,2,0)</f>
        <v>#N/A</v>
      </c>
      <c r="G546" s="67" t="e">
        <f>VLOOKUP(I546,'Трансп. каталог'!$F$3:$I$743,3,0)</f>
        <v>#N/A</v>
      </c>
      <c r="H546" s="24" t="s">
        <v>400</v>
      </c>
      <c r="I546" s="25" t="str">
        <f t="shared" si="9"/>
        <v>061601912022025</v>
      </c>
      <c r="J546" s="110" t="s">
        <v>636</v>
      </c>
      <c r="K546" s="110" t="s">
        <v>585</v>
      </c>
      <c r="L546" s="110" t="s">
        <v>471</v>
      </c>
      <c r="M546" s="104" t="s">
        <v>585</v>
      </c>
      <c r="N546" s="105" t="s">
        <v>669</v>
      </c>
      <c r="O546" s="105" t="s">
        <v>610</v>
      </c>
      <c r="P546" s="4" t="s">
        <v>92</v>
      </c>
      <c r="Q546" s="4"/>
      <c r="R546" s="71" t="s">
        <v>1402</v>
      </c>
    </row>
    <row r="547" spans="1:18" hidden="1" x14ac:dyDescent="0.2">
      <c r="A547" s="24" t="s">
        <v>95</v>
      </c>
      <c r="B547" s="5" t="s">
        <v>2</v>
      </c>
      <c r="C547" s="5" t="s">
        <v>30</v>
      </c>
      <c r="D547" s="4" t="s">
        <v>1226</v>
      </c>
      <c r="E547" s="4" t="s">
        <v>403</v>
      </c>
      <c r="F547" s="4" t="e">
        <f>VLOOKUP(I547,'Трансп. каталог'!$F$3:$I$743,2,0)</f>
        <v>#N/A</v>
      </c>
      <c r="G547" s="67" t="e">
        <f>VLOOKUP(I547,'Трансп. каталог'!$F$3:$I$743,3,0)</f>
        <v>#N/A</v>
      </c>
      <c r="H547" s="24" t="s">
        <v>404</v>
      </c>
      <c r="I547" s="25" t="str">
        <f t="shared" si="9"/>
        <v>061601912032025</v>
      </c>
      <c r="J547" s="110" t="s">
        <v>634</v>
      </c>
      <c r="K547" s="110" t="s">
        <v>586</v>
      </c>
      <c r="L547" s="110" t="s">
        <v>469</v>
      </c>
      <c r="M547" s="104" t="s">
        <v>586</v>
      </c>
      <c r="N547" s="105" t="s">
        <v>494</v>
      </c>
      <c r="O547" s="105" t="s">
        <v>493</v>
      </c>
      <c r="P547" s="4" t="s">
        <v>92</v>
      </c>
      <c r="Q547" s="4"/>
      <c r="R547" s="71" t="s">
        <v>1402</v>
      </c>
    </row>
    <row r="548" spans="1:18" hidden="1" x14ac:dyDescent="0.2">
      <c r="A548" s="24" t="s">
        <v>95</v>
      </c>
      <c r="B548" s="5" t="s">
        <v>2</v>
      </c>
      <c r="C548" s="5" t="s">
        <v>30</v>
      </c>
      <c r="D548" s="4" t="s">
        <v>1226</v>
      </c>
      <c r="E548" s="4" t="s">
        <v>407</v>
      </c>
      <c r="F548" s="4" t="e">
        <f>VLOOKUP(I548,'Трансп. каталог'!$F$3:$I$743,2,0)</f>
        <v>#N/A</v>
      </c>
      <c r="G548" s="67" t="e">
        <f>VLOOKUP(I548,'Трансп. каталог'!$F$3:$I$743,3,0)</f>
        <v>#N/A</v>
      </c>
      <c r="H548" s="24" t="s">
        <v>408</v>
      </c>
      <c r="I548" s="25" t="str">
        <f t="shared" si="9"/>
        <v>061601912042025</v>
      </c>
      <c r="J548" s="110" t="s">
        <v>558</v>
      </c>
      <c r="K548" s="110" t="s">
        <v>527</v>
      </c>
      <c r="L548" s="110" t="s">
        <v>528</v>
      </c>
      <c r="M548" s="104" t="s">
        <v>527</v>
      </c>
      <c r="N548" s="105" t="s">
        <v>703</v>
      </c>
      <c r="O548" s="105" t="s">
        <v>1372</v>
      </c>
      <c r="P548" s="4" t="s">
        <v>92</v>
      </c>
      <c r="Q548" s="4"/>
      <c r="R548" s="71" t="s">
        <v>1402</v>
      </c>
    </row>
    <row r="549" spans="1:18" hidden="1" x14ac:dyDescent="0.2">
      <c r="A549" s="24" t="s">
        <v>95</v>
      </c>
      <c r="B549" s="5" t="s">
        <v>2</v>
      </c>
      <c r="C549" s="5" t="s">
        <v>30</v>
      </c>
      <c r="D549" s="4" t="s">
        <v>1226</v>
      </c>
      <c r="E549" s="4" t="s">
        <v>411</v>
      </c>
      <c r="F549" s="4" t="e">
        <f>VLOOKUP(I549,'Трансп. каталог'!$F$3:$I$743,2,0)</f>
        <v>#N/A</v>
      </c>
      <c r="G549" s="67" t="e">
        <f>VLOOKUP(I549,'Трансп. каталог'!$F$3:$I$743,3,0)</f>
        <v>#N/A</v>
      </c>
      <c r="H549" s="24" t="s">
        <v>412</v>
      </c>
      <c r="I549" s="25" t="str">
        <f t="shared" si="9"/>
        <v>061601912052025</v>
      </c>
      <c r="J549" s="110" t="s">
        <v>530</v>
      </c>
      <c r="K549" s="110" t="s">
        <v>529</v>
      </c>
      <c r="L549" s="110" t="s">
        <v>482</v>
      </c>
      <c r="M549" s="104" t="s">
        <v>529</v>
      </c>
      <c r="N549" s="105" t="s">
        <v>667</v>
      </c>
      <c r="O549" s="105" t="s">
        <v>696</v>
      </c>
      <c r="P549" s="4" t="s">
        <v>92</v>
      </c>
      <c r="Q549" s="4"/>
      <c r="R549" s="71" t="s">
        <v>1402</v>
      </c>
    </row>
    <row r="550" spans="1:18" hidden="1" x14ac:dyDescent="0.2">
      <c r="A550" s="24" t="s">
        <v>95</v>
      </c>
      <c r="B550" s="5" t="s">
        <v>2</v>
      </c>
      <c r="C550" s="5" t="s">
        <v>30</v>
      </c>
      <c r="D550" s="4" t="s">
        <v>1226</v>
      </c>
      <c r="E550" s="4" t="s">
        <v>415</v>
      </c>
      <c r="F550" s="4" t="e">
        <f>VLOOKUP(I550,'Трансп. каталог'!$F$3:$I$743,2,0)</f>
        <v>#N/A</v>
      </c>
      <c r="G550" s="67" t="e">
        <f>VLOOKUP(I550,'Трансп. каталог'!$F$3:$I$743,3,0)</f>
        <v>#N/A</v>
      </c>
      <c r="H550" s="24" t="s">
        <v>416</v>
      </c>
      <c r="I550" s="25" t="str">
        <f t="shared" si="9"/>
        <v>061601912062025</v>
      </c>
      <c r="J550" s="110" t="s">
        <v>1370</v>
      </c>
      <c r="K550" s="110" t="s">
        <v>531</v>
      </c>
      <c r="L550" s="110" t="s">
        <v>473</v>
      </c>
      <c r="M550" s="104" t="s">
        <v>531</v>
      </c>
      <c r="N550" s="105" t="s">
        <v>594</v>
      </c>
      <c r="O550" s="105" t="s">
        <v>571</v>
      </c>
      <c r="P550" s="4" t="s">
        <v>92</v>
      </c>
      <c r="Q550" s="4"/>
      <c r="R550" s="71" t="s">
        <v>1402</v>
      </c>
    </row>
    <row r="551" spans="1:18" hidden="1" x14ac:dyDescent="0.2">
      <c r="A551" s="24" t="s">
        <v>95</v>
      </c>
      <c r="B551" s="5" t="s">
        <v>2</v>
      </c>
      <c r="C551" s="5" t="s">
        <v>30</v>
      </c>
      <c r="D551" s="4" t="s">
        <v>1226</v>
      </c>
      <c r="E551" s="4" t="s">
        <v>419</v>
      </c>
      <c r="F551" s="4" t="e">
        <f>VLOOKUP(I551,'Трансп. каталог'!$F$3:$I$743,2,0)</f>
        <v>#N/A</v>
      </c>
      <c r="G551" s="67" t="e">
        <f>VLOOKUP(I551,'Трансп. каталог'!$F$3:$I$743,3,0)</f>
        <v>#N/A</v>
      </c>
      <c r="H551" s="24" t="s">
        <v>420</v>
      </c>
      <c r="I551" s="25" t="str">
        <f t="shared" si="9"/>
        <v>061601912072025</v>
      </c>
      <c r="J551" s="110" t="s">
        <v>559</v>
      </c>
      <c r="K551" s="110" t="s">
        <v>533</v>
      </c>
      <c r="L551" s="110" t="s">
        <v>534</v>
      </c>
      <c r="M551" s="104" t="s">
        <v>533</v>
      </c>
      <c r="N551" s="105" t="s">
        <v>688</v>
      </c>
      <c r="O551" s="105" t="s">
        <v>1371</v>
      </c>
      <c r="P551" s="4" t="s">
        <v>92</v>
      </c>
      <c r="Q551" s="4"/>
      <c r="R551" s="71" t="s">
        <v>1402</v>
      </c>
    </row>
    <row r="552" spans="1:18" hidden="1" x14ac:dyDescent="0.2">
      <c r="A552" s="27" t="s">
        <v>95</v>
      </c>
      <c r="B552" s="28" t="s">
        <v>2</v>
      </c>
      <c r="C552" s="28" t="s">
        <v>30</v>
      </c>
      <c r="D552" s="26" t="s">
        <v>1226</v>
      </c>
      <c r="E552" s="26" t="s">
        <v>423</v>
      </c>
      <c r="F552" s="26" t="e">
        <f>VLOOKUP(I552,'Трансп. каталог'!$F$3:$I$743,2,0)</f>
        <v>#N/A</v>
      </c>
      <c r="G552" s="68" t="e">
        <f>VLOOKUP(I552,'Трансп. каталог'!$F$3:$I$743,3,0)</f>
        <v>#N/A</v>
      </c>
      <c r="H552" s="27" t="s">
        <v>424</v>
      </c>
      <c r="I552" s="29" t="str">
        <f t="shared" si="9"/>
        <v>061601912082025</v>
      </c>
      <c r="J552" s="44" t="s">
        <v>536</v>
      </c>
      <c r="K552" s="44" t="s">
        <v>535</v>
      </c>
      <c r="L552" s="44" t="s">
        <v>581</v>
      </c>
      <c r="M552" s="106" t="s">
        <v>535</v>
      </c>
      <c r="N552" s="107" t="s">
        <v>1393</v>
      </c>
      <c r="O552" s="107" t="s">
        <v>484</v>
      </c>
      <c r="P552" s="26" t="s">
        <v>92</v>
      </c>
      <c r="Q552" s="26"/>
      <c r="R552" s="72" t="s">
        <v>1402</v>
      </c>
    </row>
    <row r="553" spans="1:18" hidden="1" x14ac:dyDescent="0.2">
      <c r="A553" s="15" t="s">
        <v>95</v>
      </c>
      <c r="B553" s="16" t="s">
        <v>2</v>
      </c>
      <c r="C553" s="16" t="s">
        <v>30</v>
      </c>
      <c r="D553" s="14" t="s">
        <v>1226</v>
      </c>
      <c r="E553" s="14" t="s">
        <v>427</v>
      </c>
      <c r="F553" s="14" t="e">
        <f>VLOOKUP(I553,'Трансп. каталог'!$F$3:$I$743,2,0)</f>
        <v>#N/A</v>
      </c>
      <c r="G553" s="64" t="e">
        <f>VLOOKUP(I553,'Трансп. каталог'!$F$3:$I$743,3,0)</f>
        <v>#N/A</v>
      </c>
      <c r="H553" s="15" t="s">
        <v>428</v>
      </c>
      <c r="I553" s="17" t="str">
        <f t="shared" si="9"/>
        <v>061601912092025</v>
      </c>
      <c r="J553" s="40" t="s">
        <v>561</v>
      </c>
      <c r="K553" s="40" t="s">
        <v>537</v>
      </c>
      <c r="L553" s="40" t="s">
        <v>538</v>
      </c>
      <c r="M553" s="96" t="s">
        <v>537</v>
      </c>
      <c r="N553" s="97" t="s">
        <v>1394</v>
      </c>
      <c r="O553" s="97" t="s">
        <v>1394</v>
      </c>
      <c r="P553" s="14" t="s">
        <v>92</v>
      </c>
      <c r="Q553" s="14"/>
      <c r="R553" s="73" t="s">
        <v>1402</v>
      </c>
    </row>
    <row r="554" spans="1:18" hidden="1" x14ac:dyDescent="0.2">
      <c r="A554" s="18" t="s">
        <v>95</v>
      </c>
      <c r="B554" s="3" t="s">
        <v>2</v>
      </c>
      <c r="C554" s="3" t="s">
        <v>30</v>
      </c>
      <c r="D554" s="2" t="s">
        <v>1226</v>
      </c>
      <c r="E554" s="2" t="s">
        <v>431</v>
      </c>
      <c r="F554" s="2" t="e">
        <f>VLOOKUP(I554,'Трансп. каталог'!$F$3:$I$743,2,0)</f>
        <v>#N/A</v>
      </c>
      <c r="G554" s="65" t="e">
        <f>VLOOKUP(I554,'Трансп. каталог'!$F$3:$I$743,3,0)</f>
        <v>#N/A</v>
      </c>
      <c r="H554" s="18" t="s">
        <v>432</v>
      </c>
      <c r="I554" s="19" t="str">
        <f t="shared" si="9"/>
        <v>061601912102025</v>
      </c>
      <c r="J554" s="41" t="s">
        <v>562</v>
      </c>
      <c r="K554" s="41" t="s">
        <v>539</v>
      </c>
      <c r="L554" s="41" t="s">
        <v>587</v>
      </c>
      <c r="M554" s="99" t="s">
        <v>539</v>
      </c>
      <c r="N554" s="95" t="s">
        <v>639</v>
      </c>
      <c r="O554" s="95" t="s">
        <v>717</v>
      </c>
      <c r="P554" s="2" t="s">
        <v>92</v>
      </c>
      <c r="Q554" s="2"/>
      <c r="R554" s="74" t="s">
        <v>1402</v>
      </c>
    </row>
    <row r="555" spans="1:18" hidden="1" x14ac:dyDescent="0.2">
      <c r="A555" s="21" t="s">
        <v>95</v>
      </c>
      <c r="B555" s="22" t="s">
        <v>2</v>
      </c>
      <c r="C555" s="22" t="s">
        <v>30</v>
      </c>
      <c r="D555" s="20" t="s">
        <v>1226</v>
      </c>
      <c r="E555" s="20" t="s">
        <v>435</v>
      </c>
      <c r="F555" s="20" t="e">
        <f>VLOOKUP(I555,'Трансп. каталог'!$F$3:$I$743,2,0)</f>
        <v>#N/A</v>
      </c>
      <c r="G555" s="66" t="e">
        <f>VLOOKUP(I555,'Трансп. каталог'!$F$3:$I$743,3,0)</f>
        <v>#N/A</v>
      </c>
      <c r="H555" s="21" t="s">
        <v>436</v>
      </c>
      <c r="I555" s="23" t="str">
        <f t="shared" si="9"/>
        <v>061601912112025</v>
      </c>
      <c r="J555" s="42" t="s">
        <v>1369</v>
      </c>
      <c r="K555" s="42" t="s">
        <v>588</v>
      </c>
      <c r="L555" s="42" t="s">
        <v>583</v>
      </c>
      <c r="M555" s="102" t="s">
        <v>588</v>
      </c>
      <c r="N555" s="103" t="s">
        <v>613</v>
      </c>
      <c r="O555" s="103" t="s">
        <v>491</v>
      </c>
      <c r="P555" s="20" t="s">
        <v>92</v>
      </c>
      <c r="Q555" s="20"/>
      <c r="R555" s="75" t="s">
        <v>1402</v>
      </c>
    </row>
    <row r="556" spans="1:18" hidden="1" x14ac:dyDescent="0.2">
      <c r="A556" s="27" t="s">
        <v>95</v>
      </c>
      <c r="B556" s="28" t="s">
        <v>2</v>
      </c>
      <c r="C556" s="28" t="s">
        <v>30</v>
      </c>
      <c r="D556" s="26" t="s">
        <v>1226</v>
      </c>
      <c r="E556" s="26" t="s">
        <v>439</v>
      </c>
      <c r="F556" s="26" t="e">
        <f>VLOOKUP(I556,'Трансп. каталог'!$F$3:$I$743,2,0)</f>
        <v>#N/A</v>
      </c>
      <c r="G556" s="68" t="e">
        <f>VLOOKUP(I556,'Трансп. каталог'!$F$3:$I$743,3,0)</f>
        <v>#N/A</v>
      </c>
      <c r="H556" s="27" t="s">
        <v>440</v>
      </c>
      <c r="I556" s="29" t="str">
        <f t="shared" si="9"/>
        <v>061601912122025</v>
      </c>
      <c r="J556" s="44" t="s">
        <v>564</v>
      </c>
      <c r="K556" s="44" t="s">
        <v>541</v>
      </c>
      <c r="L556" s="44" t="s">
        <v>542</v>
      </c>
      <c r="M556" s="106" t="s">
        <v>541</v>
      </c>
      <c r="N556" s="107" t="s">
        <v>1395</v>
      </c>
      <c r="O556" s="107" t="s">
        <v>1395</v>
      </c>
      <c r="P556" s="26" t="s">
        <v>92</v>
      </c>
      <c r="Q556" s="26"/>
      <c r="R556" s="72" t="s">
        <v>1402</v>
      </c>
    </row>
    <row r="557" spans="1:18" hidden="1" x14ac:dyDescent="0.2">
      <c r="A557" s="15" t="s">
        <v>96</v>
      </c>
      <c r="B557" s="16" t="s">
        <v>2</v>
      </c>
      <c r="C557" s="16" t="s">
        <v>30</v>
      </c>
      <c r="D557" s="14" t="s">
        <v>1414</v>
      </c>
      <c r="E557" s="14" t="s">
        <v>395</v>
      </c>
      <c r="F557" s="14" t="str">
        <f>VLOOKUP(I557,'Трансп. каталог'!$F$3:$I$743,2,0)</f>
        <v>не позднее 29.01.2025</v>
      </c>
      <c r="G557" s="64">
        <f>VLOOKUP(I557,'Трансп. каталог'!$F$3:$I$743,3,0)</f>
        <v>0</v>
      </c>
      <c r="H557" s="15" t="s">
        <v>396</v>
      </c>
      <c r="I557" s="17" t="str">
        <f t="shared" si="9"/>
        <v>061602112012025</v>
      </c>
      <c r="J557" s="92" t="s">
        <v>585</v>
      </c>
      <c r="K557" s="92" t="s">
        <v>589</v>
      </c>
      <c r="L557" s="92" t="s">
        <v>523</v>
      </c>
      <c r="M557" s="96" t="s">
        <v>589</v>
      </c>
      <c r="N557" s="97" t="s">
        <v>463</v>
      </c>
      <c r="O557" s="97" t="s">
        <v>510</v>
      </c>
      <c r="P557" s="14" t="s">
        <v>84</v>
      </c>
      <c r="Q557" s="14"/>
      <c r="R557" s="73">
        <f>VLOOKUP(I557,'Трансп. каталог'!$F$3:$I$743,4,0)</f>
        <v>0</v>
      </c>
    </row>
    <row r="558" spans="1:18" hidden="1" x14ac:dyDescent="0.2">
      <c r="A558" s="18" t="s">
        <v>96</v>
      </c>
      <c r="B558" s="3" t="s">
        <v>2</v>
      </c>
      <c r="C558" s="3" t="s">
        <v>30</v>
      </c>
      <c r="D558" s="2" t="s">
        <v>1414</v>
      </c>
      <c r="E558" s="2" t="s">
        <v>399</v>
      </c>
      <c r="F558" s="2" t="str">
        <f>VLOOKUP(I558,'Трансп. каталог'!$F$3:$I$743,2,0)</f>
        <v>не позднее 27.02.2025</v>
      </c>
      <c r="G558" s="65">
        <f>VLOOKUP(I558,'Трансп. каталог'!$F$3:$I$743,3,0)</f>
        <v>0</v>
      </c>
      <c r="H558" s="18" t="s">
        <v>400</v>
      </c>
      <c r="I558" s="19" t="str">
        <f t="shared" si="9"/>
        <v>061602112022025</v>
      </c>
      <c r="J558" s="93" t="s">
        <v>468</v>
      </c>
      <c r="K558" s="93" t="s">
        <v>590</v>
      </c>
      <c r="L558" s="93" t="s">
        <v>525</v>
      </c>
      <c r="M558" s="99" t="s">
        <v>590</v>
      </c>
      <c r="N558" s="95" t="s">
        <v>605</v>
      </c>
      <c r="O558" s="95" t="s">
        <v>495</v>
      </c>
      <c r="P558" s="2" t="s">
        <v>84</v>
      </c>
      <c r="Q558" s="2"/>
      <c r="R558" s="74">
        <f>VLOOKUP(I558,'Трансп. каталог'!$F$3:$I$743,4,0)</f>
        <v>0</v>
      </c>
    </row>
    <row r="559" spans="1:18" hidden="1" x14ac:dyDescent="0.2">
      <c r="A559" s="21" t="s">
        <v>96</v>
      </c>
      <c r="B559" s="22" t="s">
        <v>2</v>
      </c>
      <c r="C559" s="22" t="s">
        <v>30</v>
      </c>
      <c r="D559" s="20" t="s">
        <v>1414</v>
      </c>
      <c r="E559" s="20" t="s">
        <v>403</v>
      </c>
      <c r="F559" s="20" t="str">
        <f>VLOOKUP(I559,'Трансп. каталог'!$F$3:$I$743,2,0)</f>
        <v>не позднее 28.03.2025</v>
      </c>
      <c r="G559" s="66">
        <f>VLOOKUP(I559,'Трансп. каталог'!$F$3:$I$743,3,0)</f>
        <v>0</v>
      </c>
      <c r="H559" s="21" t="s">
        <v>404</v>
      </c>
      <c r="I559" s="23" t="str">
        <f t="shared" si="9"/>
        <v>061602112032025</v>
      </c>
      <c r="J559" s="94" t="s">
        <v>511</v>
      </c>
      <c r="K559" s="94" t="s">
        <v>591</v>
      </c>
      <c r="L559" s="94" t="s">
        <v>527</v>
      </c>
      <c r="M559" s="99" t="s">
        <v>591</v>
      </c>
      <c r="N559" s="95" t="s">
        <v>499</v>
      </c>
      <c r="O559" s="95" t="s">
        <v>547</v>
      </c>
      <c r="P559" s="20" t="s">
        <v>84</v>
      </c>
      <c r="Q559" s="20"/>
      <c r="R559" s="75">
        <f>VLOOKUP(I559,'Трансп. каталог'!$F$3:$I$743,4,0)</f>
        <v>0</v>
      </c>
    </row>
    <row r="560" spans="1:18" hidden="1" x14ac:dyDescent="0.2">
      <c r="A560" s="27" t="s">
        <v>96</v>
      </c>
      <c r="B560" s="28" t="s">
        <v>2</v>
      </c>
      <c r="C560" s="28" t="s">
        <v>30</v>
      </c>
      <c r="D560" s="26" t="s">
        <v>1414</v>
      </c>
      <c r="E560" s="26" t="s">
        <v>407</v>
      </c>
      <c r="F560" s="26" t="str">
        <f>VLOOKUP(I560,'Трансп. каталог'!$F$3:$I$743,2,0)</f>
        <v xml:space="preserve">
не позднее 28.04.2025</v>
      </c>
      <c r="G560" s="68">
        <f>VLOOKUP(I560,'Трансп. каталог'!$F$3:$I$743,3,0)</f>
        <v>0</v>
      </c>
      <c r="H560" s="27" t="s">
        <v>408</v>
      </c>
      <c r="I560" s="29" t="str">
        <f t="shared" si="9"/>
        <v>061602112042025</v>
      </c>
      <c r="J560" s="94" t="s">
        <v>500</v>
      </c>
      <c r="K560" s="94" t="s">
        <v>410</v>
      </c>
      <c r="L560" s="94" t="s">
        <v>592</v>
      </c>
      <c r="M560" s="99" t="s">
        <v>410</v>
      </c>
      <c r="N560" s="95" t="s">
        <v>549</v>
      </c>
      <c r="O560" s="95" t="s">
        <v>661</v>
      </c>
      <c r="P560" s="26" t="s">
        <v>84</v>
      </c>
      <c r="Q560" s="26"/>
      <c r="R560" s="72">
        <f>VLOOKUP(I560,'Трансп. каталог'!$F$3:$I$743,4,0)</f>
        <v>0</v>
      </c>
    </row>
    <row r="561" spans="1:18" hidden="1" x14ac:dyDescent="0.2">
      <c r="A561" s="15" t="s">
        <v>96</v>
      </c>
      <c r="B561" s="16" t="s">
        <v>2</v>
      </c>
      <c r="C561" s="16" t="s">
        <v>30</v>
      </c>
      <c r="D561" s="14" t="s">
        <v>1414</v>
      </c>
      <c r="E561" s="14" t="s">
        <v>411</v>
      </c>
      <c r="F561" s="14" t="str">
        <f>VLOOKUP(I561,'Трансп. каталог'!$F$3:$I$743,2,0)</f>
        <v xml:space="preserve">
не позднее 27.05.2025</v>
      </c>
      <c r="G561" s="64">
        <f>VLOOKUP(I561,'Трансп. каталог'!$F$3:$I$743,3,0)</f>
        <v>0</v>
      </c>
      <c r="H561" s="15" t="s">
        <v>412</v>
      </c>
      <c r="I561" s="17" t="str">
        <f t="shared" si="9"/>
        <v>061602112052025</v>
      </c>
      <c r="J561" s="92" t="s">
        <v>512</v>
      </c>
      <c r="K561" s="92" t="s">
        <v>593</v>
      </c>
      <c r="L561" s="92" t="s">
        <v>594</v>
      </c>
      <c r="M561" s="99" t="s">
        <v>593</v>
      </c>
      <c r="N561" s="95" t="s">
        <v>625</v>
      </c>
      <c r="O561" s="95" t="s">
        <v>550</v>
      </c>
      <c r="P561" s="14" t="s">
        <v>84</v>
      </c>
      <c r="Q561" s="14"/>
      <c r="R561" s="73">
        <f>VLOOKUP(I561,'Трансп. каталог'!$F$3:$I$743,4,0)</f>
        <v>0</v>
      </c>
    </row>
    <row r="562" spans="1:18" hidden="1" x14ac:dyDescent="0.2">
      <c r="A562" s="15" t="s">
        <v>96</v>
      </c>
      <c r="B562" s="16" t="s">
        <v>2</v>
      </c>
      <c r="C562" s="16" t="s">
        <v>30</v>
      </c>
      <c r="D562" s="14" t="s">
        <v>1414</v>
      </c>
      <c r="E562" s="14" t="s">
        <v>415</v>
      </c>
      <c r="F562" s="14" t="str">
        <f>VLOOKUP(I562,'Трансп. каталог'!$F$3:$I$743,2,0)</f>
        <v xml:space="preserve">
не позднее 27.06.2025</v>
      </c>
      <c r="G562" s="64">
        <f>VLOOKUP(I562,'Трансп. каталог'!$F$3:$I$743,3,0)</f>
        <v>0</v>
      </c>
      <c r="H562" s="15" t="s">
        <v>416</v>
      </c>
      <c r="I562" s="17" t="str">
        <f t="shared" si="9"/>
        <v>061602112062025</v>
      </c>
      <c r="J562" s="92" t="s">
        <v>513</v>
      </c>
      <c r="K562" s="92" t="s">
        <v>595</v>
      </c>
      <c r="L562" s="92" t="s">
        <v>596</v>
      </c>
      <c r="M562" s="99" t="s">
        <v>595</v>
      </c>
      <c r="N562" s="95" t="s">
        <v>501</v>
      </c>
      <c r="O562" s="95" t="s">
        <v>551</v>
      </c>
      <c r="P562" s="14" t="s">
        <v>84</v>
      </c>
      <c r="Q562" s="14"/>
      <c r="R562" s="73">
        <f>VLOOKUP(I562,'Трансп. каталог'!$F$3:$I$743,4,0)</f>
        <v>0</v>
      </c>
    </row>
    <row r="563" spans="1:18" hidden="1" x14ac:dyDescent="0.2">
      <c r="A563" s="15" t="s">
        <v>96</v>
      </c>
      <c r="B563" s="16" t="s">
        <v>2</v>
      </c>
      <c r="C563" s="16" t="s">
        <v>30</v>
      </c>
      <c r="D563" s="14" t="s">
        <v>1414</v>
      </c>
      <c r="E563" s="14" t="s">
        <v>419</v>
      </c>
      <c r="F563" s="14" t="str">
        <f>VLOOKUP(I563,'Трансп. каталог'!$F$3:$I$743,2,0)</f>
        <v xml:space="preserve">
не позднее 29.07.2025</v>
      </c>
      <c r="G563" s="64">
        <f>VLOOKUP(I563,'Трансп. каталог'!$F$3:$I$743,3,0)</f>
        <v>0</v>
      </c>
      <c r="H563" s="15" t="s">
        <v>420</v>
      </c>
      <c r="I563" s="17" t="str">
        <f t="shared" si="9"/>
        <v>061602112072025</v>
      </c>
      <c r="J563" s="40" t="s">
        <v>514</v>
      </c>
      <c r="K563" s="40" t="s">
        <v>597</v>
      </c>
      <c r="L563" s="40" t="s">
        <v>535</v>
      </c>
      <c r="M563" s="82" t="s">
        <v>597</v>
      </c>
      <c r="N563" s="87" t="s">
        <v>553</v>
      </c>
      <c r="O563" s="87" t="s">
        <v>580</v>
      </c>
      <c r="P563" s="14" t="s">
        <v>84</v>
      </c>
      <c r="Q563" s="14"/>
      <c r="R563" s="73">
        <f>VLOOKUP(I563,'Трансп. каталог'!$F$3:$I$743,4,0)</f>
        <v>0</v>
      </c>
    </row>
    <row r="564" spans="1:18" hidden="1" x14ac:dyDescent="0.2">
      <c r="A564" s="15" t="s">
        <v>96</v>
      </c>
      <c r="B564" s="16" t="s">
        <v>2</v>
      </c>
      <c r="C564" s="16" t="s">
        <v>30</v>
      </c>
      <c r="D564" s="14" t="s">
        <v>1414</v>
      </c>
      <c r="E564" s="14" t="s">
        <v>423</v>
      </c>
      <c r="F564" s="14" t="str">
        <f>VLOOKUP(I564,'Трансп. каталог'!$F$3:$I$743,2,0)</f>
        <v>не позднее 29.08.2025</v>
      </c>
      <c r="G564" s="64">
        <f>VLOOKUP(I564,'Трансп. каталог'!$F$3:$I$743,3,0)</f>
        <v>0</v>
      </c>
      <c r="H564" s="15" t="s">
        <v>424</v>
      </c>
      <c r="I564" s="17" t="str">
        <f t="shared" si="9"/>
        <v>061602112082025</v>
      </c>
      <c r="J564" s="40" t="s">
        <v>515</v>
      </c>
      <c r="K564" s="40" t="s">
        <v>598</v>
      </c>
      <c r="L564" s="40" t="s">
        <v>582</v>
      </c>
      <c r="M564" s="82" t="s">
        <v>598</v>
      </c>
      <c r="N564" s="87" t="s">
        <v>649</v>
      </c>
      <c r="O564" s="87" t="s">
        <v>554</v>
      </c>
      <c r="P564" s="14" t="s">
        <v>84</v>
      </c>
      <c r="Q564" s="14"/>
      <c r="R564" s="73">
        <f>VLOOKUP(I564,'Трансп. каталог'!$F$3:$I$743,4,0)</f>
        <v>0</v>
      </c>
    </row>
    <row r="565" spans="1:18" hidden="1" x14ac:dyDescent="0.2">
      <c r="A565" s="18" t="s">
        <v>96</v>
      </c>
      <c r="B565" s="3" t="s">
        <v>2</v>
      </c>
      <c r="C565" s="3" t="s">
        <v>30</v>
      </c>
      <c r="D565" s="2" t="s">
        <v>1414</v>
      </c>
      <c r="E565" s="2" t="s">
        <v>427</v>
      </c>
      <c r="F565" s="2" t="str">
        <f>VLOOKUP(I565,'Трансп. каталог'!$F$3:$I$743,2,0)</f>
        <v xml:space="preserve">
не позднее 30.09.2025</v>
      </c>
      <c r="G565" s="65">
        <f>VLOOKUP(I565,'Трансп. каталог'!$F$3:$I$743,3,0)</f>
        <v>0</v>
      </c>
      <c r="H565" s="18" t="s">
        <v>428</v>
      </c>
      <c r="I565" s="19" t="str">
        <f t="shared" si="9"/>
        <v>061602112092025</v>
      </c>
      <c r="J565" s="41" t="s">
        <v>516</v>
      </c>
      <c r="K565" s="41" t="s">
        <v>574</v>
      </c>
      <c r="L565" s="41" t="s">
        <v>539</v>
      </c>
      <c r="M565" s="83" t="s">
        <v>574</v>
      </c>
      <c r="N565" s="88" t="s">
        <v>630</v>
      </c>
      <c r="O565" s="88" t="s">
        <v>1368</v>
      </c>
      <c r="P565" s="2" t="s">
        <v>84</v>
      </c>
      <c r="Q565" s="2"/>
      <c r="R565" s="74">
        <f>VLOOKUP(I565,'Трансп. каталог'!$F$3:$I$743,4,0)</f>
        <v>0</v>
      </c>
    </row>
    <row r="566" spans="1:18" hidden="1" x14ac:dyDescent="0.2">
      <c r="A566" s="21" t="s">
        <v>96</v>
      </c>
      <c r="B566" s="22" t="s">
        <v>2</v>
      </c>
      <c r="C566" s="22" t="s">
        <v>30</v>
      </c>
      <c r="D566" s="20" t="s">
        <v>1414</v>
      </c>
      <c r="E566" s="20" t="s">
        <v>431</v>
      </c>
      <c r="F566" s="20" t="str">
        <f>VLOOKUP(I566,'Трансп. каталог'!$F$3:$I$743,2,0)</f>
        <v xml:space="preserve">
не позднее 28.10.2025</v>
      </c>
      <c r="G566" s="66">
        <f>VLOOKUP(I566,'Трансп. каталог'!$F$3:$I$743,3,0)</f>
        <v>0</v>
      </c>
      <c r="H566" s="21" t="s">
        <v>432</v>
      </c>
      <c r="I566" s="23" t="str">
        <f t="shared" si="9"/>
        <v>061602112102025</v>
      </c>
      <c r="J566" s="42" t="s">
        <v>668</v>
      </c>
      <c r="K566" s="42" t="s">
        <v>478</v>
      </c>
      <c r="L566" s="42" t="s">
        <v>540</v>
      </c>
      <c r="M566" s="84" t="s">
        <v>478</v>
      </c>
      <c r="N566" s="89" t="s">
        <v>505</v>
      </c>
      <c r="O566" s="89" t="s">
        <v>518</v>
      </c>
      <c r="P566" s="20" t="s">
        <v>84</v>
      </c>
      <c r="Q566" s="20"/>
      <c r="R566" s="75">
        <f>VLOOKUP(I566,'Трансп. каталог'!$F$3:$I$743,4,0)</f>
        <v>0</v>
      </c>
    </row>
    <row r="567" spans="1:18" hidden="1" x14ac:dyDescent="0.2">
      <c r="A567" s="24" t="s">
        <v>96</v>
      </c>
      <c r="B567" s="5" t="s">
        <v>2</v>
      </c>
      <c r="C567" s="5" t="s">
        <v>30</v>
      </c>
      <c r="D567" s="4" t="s">
        <v>1414</v>
      </c>
      <c r="E567" s="4" t="s">
        <v>435</v>
      </c>
      <c r="F567" s="4" t="str">
        <f>VLOOKUP(I567,'Трансп. каталог'!$F$3:$I$743,2,0)</f>
        <v>не позднее 28.11.2025</v>
      </c>
      <c r="G567" s="67">
        <f>VLOOKUP(I567,'Трансп. каталог'!$F$3:$I$743,3,0)</f>
        <v>0</v>
      </c>
      <c r="H567" s="24" t="s">
        <v>436</v>
      </c>
      <c r="I567" s="25" t="str">
        <f t="shared" si="9"/>
        <v>061602112112025</v>
      </c>
      <c r="J567" s="43" t="s">
        <v>519</v>
      </c>
      <c r="K567" s="43" t="s">
        <v>599</v>
      </c>
      <c r="L567" s="43" t="s">
        <v>584</v>
      </c>
      <c r="M567" s="85" t="s">
        <v>599</v>
      </c>
      <c r="N567" s="90" t="s">
        <v>652</v>
      </c>
      <c r="O567" s="90" t="s">
        <v>557</v>
      </c>
      <c r="P567" s="4" t="s">
        <v>84</v>
      </c>
      <c r="Q567" s="4"/>
      <c r="R567" s="71">
        <f>VLOOKUP(I567,'Трансп. каталог'!$F$3:$I$743,4,0)</f>
        <v>0</v>
      </c>
    </row>
    <row r="568" spans="1:18" ht="24" hidden="1" x14ac:dyDescent="0.2">
      <c r="A568" s="24" t="s">
        <v>81</v>
      </c>
      <c r="B568" s="5" t="s">
        <v>2</v>
      </c>
      <c r="C568" s="5" t="s">
        <v>30</v>
      </c>
      <c r="D568" s="4" t="s">
        <v>1238</v>
      </c>
      <c r="E568" s="4" t="s">
        <v>395</v>
      </c>
      <c r="F568" s="4" t="str">
        <f>VLOOKUP(I568,'Трансп. каталог'!$F$3:$I$743,2,0)</f>
        <v>23.12.2024 - 27.12.2024</v>
      </c>
      <c r="G568" s="67">
        <f>VLOOKUP(I568,'Трансп. каталог'!$F$3:$I$743,3,0)</f>
        <v>0</v>
      </c>
      <c r="H568" s="24" t="s">
        <v>396</v>
      </c>
      <c r="I568" s="25" t="str">
        <f t="shared" si="9"/>
        <v>061602212012025</v>
      </c>
      <c r="J568" s="110" t="s">
        <v>666</v>
      </c>
      <c r="K568" s="110" t="s">
        <v>464</v>
      </c>
      <c r="L568" s="110" t="s">
        <v>522</v>
      </c>
      <c r="M568" s="104" t="s">
        <v>464</v>
      </c>
      <c r="N568" s="105" t="s">
        <v>705</v>
      </c>
      <c r="O568" s="105" t="s">
        <v>1387</v>
      </c>
      <c r="P568" s="6" t="s">
        <v>77</v>
      </c>
      <c r="Q568" s="4"/>
      <c r="R568" s="71" t="s">
        <v>1402</v>
      </c>
    </row>
    <row r="569" spans="1:18" ht="24" hidden="1" x14ac:dyDescent="0.2">
      <c r="A569" s="24" t="s">
        <v>81</v>
      </c>
      <c r="B569" s="5" t="s">
        <v>2</v>
      </c>
      <c r="C569" s="5" t="s">
        <v>30</v>
      </c>
      <c r="D569" s="4" t="s">
        <v>1238</v>
      </c>
      <c r="E569" s="4" t="s">
        <v>399</v>
      </c>
      <c r="F569" s="4" t="e">
        <f>VLOOKUP(I569,'Трансп. каталог'!$F$3:$I$743,2,0)</f>
        <v>#N/A</v>
      </c>
      <c r="G569" s="67" t="e">
        <f>VLOOKUP(I569,'Трансп. каталог'!$F$3:$I$743,3,0)</f>
        <v>#N/A</v>
      </c>
      <c r="H569" s="24" t="s">
        <v>400</v>
      </c>
      <c r="I569" s="25" t="str">
        <f t="shared" si="9"/>
        <v>061602212022025</v>
      </c>
      <c r="J569" s="110" t="s">
        <v>636</v>
      </c>
      <c r="K569" s="110" t="s">
        <v>523</v>
      </c>
      <c r="L569" s="110" t="s">
        <v>524</v>
      </c>
      <c r="M569" s="104" t="s">
        <v>523</v>
      </c>
      <c r="N569" s="105" t="s">
        <v>611</v>
      </c>
      <c r="O569" s="105" t="s">
        <v>610</v>
      </c>
      <c r="P569" s="6" t="s">
        <v>77</v>
      </c>
      <c r="Q569" s="4"/>
      <c r="R569" s="71" t="s">
        <v>1402</v>
      </c>
    </row>
    <row r="570" spans="1:18" ht="24" hidden="1" x14ac:dyDescent="0.2">
      <c r="A570" s="24" t="s">
        <v>81</v>
      </c>
      <c r="B570" s="5" t="s">
        <v>2</v>
      </c>
      <c r="C570" s="5" t="s">
        <v>30</v>
      </c>
      <c r="D570" s="4" t="s">
        <v>1238</v>
      </c>
      <c r="E570" s="4" t="s">
        <v>403</v>
      </c>
      <c r="F570" s="4" t="e">
        <f>VLOOKUP(I570,'Трансп. каталог'!$F$3:$I$743,2,0)</f>
        <v>#N/A</v>
      </c>
      <c r="G570" s="67" t="e">
        <f>VLOOKUP(I570,'Трансп. каталог'!$F$3:$I$743,3,0)</f>
        <v>#N/A</v>
      </c>
      <c r="H570" s="24" t="s">
        <v>404</v>
      </c>
      <c r="I570" s="25" t="str">
        <f t="shared" si="9"/>
        <v>061602212032025</v>
      </c>
      <c r="J570" s="110" t="s">
        <v>634</v>
      </c>
      <c r="K570" s="110" t="s">
        <v>525</v>
      </c>
      <c r="L570" s="110" t="s">
        <v>526</v>
      </c>
      <c r="M570" s="104" t="s">
        <v>525</v>
      </c>
      <c r="N570" s="105" t="s">
        <v>494</v>
      </c>
      <c r="O570" s="105" t="s">
        <v>493</v>
      </c>
      <c r="P570" s="6" t="s">
        <v>77</v>
      </c>
      <c r="Q570" s="4"/>
      <c r="R570" s="71" t="s">
        <v>1402</v>
      </c>
    </row>
    <row r="571" spans="1:18" ht="24" hidden="1" x14ac:dyDescent="0.2">
      <c r="A571" s="24" t="s">
        <v>81</v>
      </c>
      <c r="B571" s="5" t="s">
        <v>2</v>
      </c>
      <c r="C571" s="5" t="s">
        <v>30</v>
      </c>
      <c r="D571" s="4" t="s">
        <v>1238</v>
      </c>
      <c r="E571" s="4" t="s">
        <v>407</v>
      </c>
      <c r="F571" s="4" t="e">
        <f>VLOOKUP(I571,'Трансп. каталог'!$F$3:$I$743,2,0)</f>
        <v>#N/A</v>
      </c>
      <c r="G571" s="67" t="e">
        <f>VLOOKUP(I571,'Трансп. каталог'!$F$3:$I$743,3,0)</f>
        <v>#N/A</v>
      </c>
      <c r="H571" s="24" t="s">
        <v>408</v>
      </c>
      <c r="I571" s="25" t="str">
        <f t="shared" si="9"/>
        <v>061602212042025</v>
      </c>
      <c r="J571" s="110" t="s">
        <v>1372</v>
      </c>
      <c r="K571" s="110" t="s">
        <v>527</v>
      </c>
      <c r="L571" s="110" t="s">
        <v>528</v>
      </c>
      <c r="M571" s="104" t="s">
        <v>527</v>
      </c>
      <c r="N571" s="105" t="s">
        <v>671</v>
      </c>
      <c r="O571" s="105" t="s">
        <v>637</v>
      </c>
      <c r="P571" s="6" t="s">
        <v>77</v>
      </c>
      <c r="Q571" s="4"/>
      <c r="R571" s="71" t="s">
        <v>1402</v>
      </c>
    </row>
    <row r="572" spans="1:18" ht="24" hidden="1" x14ac:dyDescent="0.2">
      <c r="A572" s="24" t="s">
        <v>81</v>
      </c>
      <c r="B572" s="5" t="s">
        <v>2</v>
      </c>
      <c r="C572" s="5" t="s">
        <v>30</v>
      </c>
      <c r="D572" s="4" t="s">
        <v>1238</v>
      </c>
      <c r="E572" s="4" t="s">
        <v>411</v>
      </c>
      <c r="F572" s="4" t="e">
        <f>VLOOKUP(I572,'Трансп. каталог'!$F$3:$I$743,2,0)</f>
        <v>#N/A</v>
      </c>
      <c r="G572" s="67" t="e">
        <f>VLOOKUP(I572,'Трансп. каталог'!$F$3:$I$743,3,0)</f>
        <v>#N/A</v>
      </c>
      <c r="H572" s="24" t="s">
        <v>412</v>
      </c>
      <c r="I572" s="25" t="str">
        <f t="shared" si="9"/>
        <v>061602212052025</v>
      </c>
      <c r="J572" s="110" t="s">
        <v>696</v>
      </c>
      <c r="K572" s="110" t="s">
        <v>529</v>
      </c>
      <c r="L572" s="110" t="s">
        <v>530</v>
      </c>
      <c r="M572" s="104" t="s">
        <v>529</v>
      </c>
      <c r="N572" s="105" t="s">
        <v>667</v>
      </c>
      <c r="O572" s="105" t="s">
        <v>698</v>
      </c>
      <c r="P572" s="6" t="s">
        <v>77</v>
      </c>
      <c r="Q572" s="4"/>
      <c r="R572" s="71" t="s">
        <v>1402</v>
      </c>
    </row>
    <row r="573" spans="1:18" ht="24" hidden="1" x14ac:dyDescent="0.2">
      <c r="A573" s="24" t="s">
        <v>81</v>
      </c>
      <c r="B573" s="5" t="s">
        <v>2</v>
      </c>
      <c r="C573" s="5" t="s">
        <v>30</v>
      </c>
      <c r="D573" s="4" t="s">
        <v>1238</v>
      </c>
      <c r="E573" s="4" t="s">
        <v>415</v>
      </c>
      <c r="F573" s="4" t="e">
        <f>VLOOKUP(I573,'Трансп. каталог'!$F$3:$I$743,2,0)</f>
        <v>#N/A</v>
      </c>
      <c r="G573" s="67" t="e">
        <f>VLOOKUP(I573,'Трансп. каталог'!$F$3:$I$743,3,0)</f>
        <v>#N/A</v>
      </c>
      <c r="H573" s="24" t="s">
        <v>416</v>
      </c>
      <c r="I573" s="25" t="str">
        <f t="shared" si="9"/>
        <v>061602212062025</v>
      </c>
      <c r="J573" s="110" t="s">
        <v>1370</v>
      </c>
      <c r="K573" s="110" t="s">
        <v>531</v>
      </c>
      <c r="L573" s="110" t="s">
        <v>532</v>
      </c>
      <c r="M573" s="104" t="s">
        <v>531</v>
      </c>
      <c r="N573" s="105" t="s">
        <v>594</v>
      </c>
      <c r="O573" s="105" t="s">
        <v>571</v>
      </c>
      <c r="P573" s="6" t="s">
        <v>77</v>
      </c>
      <c r="Q573" s="4"/>
      <c r="R573" s="71" t="s">
        <v>1402</v>
      </c>
    </row>
    <row r="574" spans="1:18" ht="24" hidden="1" x14ac:dyDescent="0.2">
      <c r="A574" s="24" t="s">
        <v>81</v>
      </c>
      <c r="B574" s="5" t="s">
        <v>2</v>
      </c>
      <c r="C574" s="5" t="s">
        <v>30</v>
      </c>
      <c r="D574" s="4" t="s">
        <v>1238</v>
      </c>
      <c r="E574" s="4" t="s">
        <v>419</v>
      </c>
      <c r="F574" s="4" t="e">
        <f>VLOOKUP(I574,'Трансп. каталог'!$F$3:$I$743,2,0)</f>
        <v>#N/A</v>
      </c>
      <c r="G574" s="67" t="e">
        <f>VLOOKUP(I574,'Трансп. каталог'!$F$3:$I$743,3,0)</f>
        <v>#N/A</v>
      </c>
      <c r="H574" s="24" t="s">
        <v>420</v>
      </c>
      <c r="I574" s="25" t="str">
        <f t="shared" si="9"/>
        <v>061602212072025</v>
      </c>
      <c r="J574" s="110" t="s">
        <v>1371</v>
      </c>
      <c r="K574" s="110" t="s">
        <v>533</v>
      </c>
      <c r="L574" s="110" t="s">
        <v>534</v>
      </c>
      <c r="M574" s="104" t="s">
        <v>533</v>
      </c>
      <c r="N574" s="105" t="s">
        <v>688</v>
      </c>
      <c r="O574" s="105" t="s">
        <v>688</v>
      </c>
      <c r="P574" s="6" t="s">
        <v>77</v>
      </c>
      <c r="Q574" s="4"/>
      <c r="R574" s="71" t="s">
        <v>1402</v>
      </c>
    </row>
    <row r="575" spans="1:18" ht="24" hidden="1" x14ac:dyDescent="0.2">
      <c r="A575" s="24" t="s">
        <v>81</v>
      </c>
      <c r="B575" s="5" t="s">
        <v>2</v>
      </c>
      <c r="C575" s="5" t="s">
        <v>30</v>
      </c>
      <c r="D575" s="4" t="s">
        <v>1238</v>
      </c>
      <c r="E575" s="4" t="s">
        <v>423</v>
      </c>
      <c r="F575" s="4" t="e">
        <f>VLOOKUP(I575,'Трансп. каталог'!$F$3:$I$743,2,0)</f>
        <v>#N/A</v>
      </c>
      <c r="G575" s="67" t="e">
        <f>VLOOKUP(I575,'Трансп. каталог'!$F$3:$I$743,3,0)</f>
        <v>#N/A</v>
      </c>
      <c r="H575" s="24" t="s">
        <v>424</v>
      </c>
      <c r="I575" s="25" t="str">
        <f t="shared" si="9"/>
        <v>061602212082025</v>
      </c>
      <c r="J575" s="43" t="s">
        <v>484</v>
      </c>
      <c r="K575" s="43" t="s">
        <v>535</v>
      </c>
      <c r="L575" s="43" t="s">
        <v>536</v>
      </c>
      <c r="M575" s="104" t="s">
        <v>535</v>
      </c>
      <c r="N575" s="105" t="s">
        <v>490</v>
      </c>
      <c r="O575" s="105" t="s">
        <v>1393</v>
      </c>
      <c r="P575" s="6" t="s">
        <v>77</v>
      </c>
      <c r="Q575" s="4"/>
      <c r="R575" s="71" t="s">
        <v>1402</v>
      </c>
    </row>
    <row r="576" spans="1:18" ht="24" hidden="1" x14ac:dyDescent="0.2">
      <c r="A576" s="27" t="s">
        <v>81</v>
      </c>
      <c r="B576" s="28" t="s">
        <v>2</v>
      </c>
      <c r="C576" s="28" t="s">
        <v>30</v>
      </c>
      <c r="D576" s="26" t="s">
        <v>1238</v>
      </c>
      <c r="E576" s="26" t="s">
        <v>427</v>
      </c>
      <c r="F576" s="26" t="e">
        <f>VLOOKUP(I576,'Трансп. каталог'!$F$3:$I$743,2,0)</f>
        <v>#N/A</v>
      </c>
      <c r="G576" s="68" t="e">
        <f>VLOOKUP(I576,'Трансп. каталог'!$F$3:$I$743,3,0)</f>
        <v>#N/A</v>
      </c>
      <c r="H576" s="27" t="s">
        <v>428</v>
      </c>
      <c r="I576" s="29" t="str">
        <f t="shared" si="9"/>
        <v>061602212092025</v>
      </c>
      <c r="J576" s="44" t="s">
        <v>573</v>
      </c>
      <c r="K576" s="44" t="s">
        <v>537</v>
      </c>
      <c r="L576" s="44" t="s">
        <v>538</v>
      </c>
      <c r="M576" s="106" t="s">
        <v>537</v>
      </c>
      <c r="N576" s="107" t="s">
        <v>1394</v>
      </c>
      <c r="O576" s="107" t="s">
        <v>1394</v>
      </c>
      <c r="P576" s="33" t="s">
        <v>77</v>
      </c>
      <c r="Q576" s="26"/>
      <c r="R576" s="72" t="s">
        <v>1402</v>
      </c>
    </row>
    <row r="577" spans="1:18" ht="24" hidden="1" x14ac:dyDescent="0.2">
      <c r="A577" s="18" t="s">
        <v>81</v>
      </c>
      <c r="B577" s="3" t="s">
        <v>2</v>
      </c>
      <c r="C577" s="3" t="s">
        <v>30</v>
      </c>
      <c r="D577" s="2" t="s">
        <v>1238</v>
      </c>
      <c r="E577" s="2" t="s">
        <v>431</v>
      </c>
      <c r="F577" s="2" t="e">
        <f>VLOOKUP(I577,'Трансп. каталог'!$F$3:$I$743,2,0)</f>
        <v>#N/A</v>
      </c>
      <c r="G577" s="65" t="e">
        <f>VLOOKUP(I577,'Трансп. каталог'!$F$3:$I$743,3,0)</f>
        <v>#N/A</v>
      </c>
      <c r="H577" s="18" t="s">
        <v>432</v>
      </c>
      <c r="I577" s="19" t="str">
        <f t="shared" si="9"/>
        <v>061602212102025</v>
      </c>
      <c r="J577" s="41" t="s">
        <v>717</v>
      </c>
      <c r="K577" s="41" t="s">
        <v>539</v>
      </c>
      <c r="L577" s="41" t="s">
        <v>455</v>
      </c>
      <c r="M577" s="99" t="s">
        <v>539</v>
      </c>
      <c r="N577" s="95" t="s">
        <v>639</v>
      </c>
      <c r="O577" s="95" t="s">
        <v>1410</v>
      </c>
      <c r="P577" s="31" t="s">
        <v>77</v>
      </c>
      <c r="Q577" s="2"/>
      <c r="R577" s="74" t="s">
        <v>1402</v>
      </c>
    </row>
    <row r="578" spans="1:18" ht="24" hidden="1" x14ac:dyDescent="0.2">
      <c r="A578" s="21" t="s">
        <v>81</v>
      </c>
      <c r="B578" s="22" t="s">
        <v>2</v>
      </c>
      <c r="C578" s="22" t="s">
        <v>30</v>
      </c>
      <c r="D578" s="20" t="s">
        <v>1238</v>
      </c>
      <c r="E578" s="20" t="s">
        <v>435</v>
      </c>
      <c r="F578" s="20" t="e">
        <f>VLOOKUP(I578,'Трансп. каталог'!$F$3:$I$743,2,0)</f>
        <v>#N/A</v>
      </c>
      <c r="G578" s="66" t="e">
        <f>VLOOKUP(I578,'Трансп. каталог'!$F$3:$I$743,3,0)</f>
        <v>#N/A</v>
      </c>
      <c r="H578" s="21" t="s">
        <v>436</v>
      </c>
      <c r="I578" s="23" t="str">
        <f t="shared" si="9"/>
        <v>061602212112025</v>
      </c>
      <c r="J578" s="42" t="s">
        <v>1369</v>
      </c>
      <c r="K578" s="42" t="s">
        <v>540</v>
      </c>
      <c r="L578" s="42" t="s">
        <v>486</v>
      </c>
      <c r="M578" s="99" t="s">
        <v>540</v>
      </c>
      <c r="N578" s="95" t="s">
        <v>613</v>
      </c>
      <c r="O578" s="95" t="s">
        <v>491</v>
      </c>
      <c r="P578" s="32" t="s">
        <v>77</v>
      </c>
      <c r="Q578" s="20"/>
      <c r="R578" s="75" t="s">
        <v>1402</v>
      </c>
    </row>
    <row r="579" spans="1:18" ht="24" hidden="1" x14ac:dyDescent="0.2">
      <c r="A579" s="24" t="s">
        <v>81</v>
      </c>
      <c r="B579" s="5" t="s">
        <v>2</v>
      </c>
      <c r="C579" s="5" t="s">
        <v>30</v>
      </c>
      <c r="D579" s="4" t="s">
        <v>1238</v>
      </c>
      <c r="E579" s="4" t="s">
        <v>439</v>
      </c>
      <c r="F579" s="4" t="e">
        <f>VLOOKUP(I579,'Трансп. каталог'!$F$3:$I$743,2,0)</f>
        <v>#N/A</v>
      </c>
      <c r="G579" s="67" t="e">
        <f>VLOOKUP(I579,'Трансп. каталог'!$F$3:$I$743,3,0)</f>
        <v>#N/A</v>
      </c>
      <c r="H579" s="24" t="s">
        <v>440</v>
      </c>
      <c r="I579" s="25" t="str">
        <f t="shared" si="9"/>
        <v>061602212122025</v>
      </c>
      <c r="J579" s="43" t="s">
        <v>1366</v>
      </c>
      <c r="K579" s="43" t="s">
        <v>541</v>
      </c>
      <c r="L579" s="43" t="s">
        <v>542</v>
      </c>
      <c r="M579" s="99" t="s">
        <v>541</v>
      </c>
      <c r="N579" s="95" t="s">
        <v>1395</v>
      </c>
      <c r="O579" s="95" t="s">
        <v>1395</v>
      </c>
      <c r="P579" s="6" t="s">
        <v>77</v>
      </c>
      <c r="Q579" s="4"/>
      <c r="R579" s="71" t="s">
        <v>1402</v>
      </c>
    </row>
    <row r="580" spans="1:18" hidden="1" x14ac:dyDescent="0.2">
      <c r="A580" s="24" t="s">
        <v>97</v>
      </c>
      <c r="B580" s="5" t="s">
        <v>2</v>
      </c>
      <c r="C580" s="5" t="s">
        <v>30</v>
      </c>
      <c r="D580" s="4" t="s">
        <v>1105</v>
      </c>
      <c r="E580" s="4" t="s">
        <v>446</v>
      </c>
      <c r="F580" s="4" t="str">
        <f>VLOOKUP(I580,'Трансп. каталог'!$F$3:$I$743,2,0)</f>
        <v>не позднее 28.03.2025</v>
      </c>
      <c r="G580" s="67">
        <f>VLOOKUP(I580,'Трансп. каталог'!$F$3:$I$743,3,0)</f>
        <v>0</v>
      </c>
      <c r="H580" s="24" t="s">
        <v>447</v>
      </c>
      <c r="I580" s="25" t="str">
        <f t="shared" si="9"/>
        <v>061603204012025</v>
      </c>
      <c r="J580" s="110" t="s">
        <v>703</v>
      </c>
      <c r="K580" s="110" t="s">
        <v>591</v>
      </c>
      <c r="L580" s="110" t="s">
        <v>444</v>
      </c>
      <c r="M580" s="99" t="s">
        <v>591</v>
      </c>
      <c r="N580" s="101" t="s">
        <v>1401</v>
      </c>
      <c r="O580" s="101" t="s">
        <v>1401</v>
      </c>
      <c r="P580" s="4" t="s">
        <v>80</v>
      </c>
      <c r="Q580" s="4"/>
      <c r="R580" s="71" t="s">
        <v>1405</v>
      </c>
    </row>
    <row r="581" spans="1:18" hidden="1" x14ac:dyDescent="0.2">
      <c r="A581" s="24" t="s">
        <v>97</v>
      </c>
      <c r="B581" s="5" t="s">
        <v>2</v>
      </c>
      <c r="C581" s="5" t="s">
        <v>30</v>
      </c>
      <c r="D581" s="4" t="s">
        <v>1105</v>
      </c>
      <c r="E581" s="4" t="s">
        <v>449</v>
      </c>
      <c r="F581" s="4" t="str">
        <f>VLOOKUP(I581,'Трансп. каталог'!$F$3:$I$743,2,0)</f>
        <v>не позднее 27.06.2025</v>
      </c>
      <c r="G581" s="67">
        <f>VLOOKUP(I581,'Трансп. каталог'!$F$3:$I$743,3,0)</f>
        <v>0</v>
      </c>
      <c r="H581" s="24" t="s">
        <v>450</v>
      </c>
      <c r="I581" s="25" t="str">
        <f t="shared" si="9"/>
        <v>061603204022025</v>
      </c>
      <c r="J581" s="110" t="s">
        <v>688</v>
      </c>
      <c r="K581" s="110" t="s">
        <v>595</v>
      </c>
      <c r="L581" s="110" t="s">
        <v>474</v>
      </c>
      <c r="M581" s="99" t="s">
        <v>595</v>
      </c>
      <c r="N581" s="101" t="s">
        <v>1401</v>
      </c>
      <c r="O581" s="101" t="s">
        <v>1401</v>
      </c>
      <c r="P581" s="4" t="s">
        <v>80</v>
      </c>
      <c r="Q581" s="4"/>
      <c r="R581" s="71" t="s">
        <v>1405</v>
      </c>
    </row>
    <row r="582" spans="1:18" hidden="1" x14ac:dyDescent="0.2">
      <c r="A582" s="24" t="s">
        <v>97</v>
      </c>
      <c r="B582" s="5" t="s">
        <v>2</v>
      </c>
      <c r="C582" s="5" t="s">
        <v>30</v>
      </c>
      <c r="D582" s="4" t="s">
        <v>1105</v>
      </c>
      <c r="E582" s="4" t="s">
        <v>452</v>
      </c>
      <c r="F582" s="4" t="str">
        <f>VLOOKUP(I582,'Трансп. каталог'!$F$3:$I$743,2,0)</f>
        <v>не позднее 26.09.2025</v>
      </c>
      <c r="G582" s="67">
        <f>VLOOKUP(I582,'Трансп. каталог'!$F$3:$I$743,3,0)</f>
        <v>0</v>
      </c>
      <c r="H582" s="24" t="s">
        <v>453</v>
      </c>
      <c r="I582" s="25" t="str">
        <f t="shared" si="9"/>
        <v>061603204032025</v>
      </c>
      <c r="J582" s="43" t="s">
        <v>639</v>
      </c>
      <c r="K582" s="43" t="s">
        <v>600</v>
      </c>
      <c r="L582" s="43" t="s">
        <v>601</v>
      </c>
      <c r="M582" s="83" t="s">
        <v>600</v>
      </c>
      <c r="N582" s="100" t="s">
        <v>1401</v>
      </c>
      <c r="O582" s="100" t="s">
        <v>1401</v>
      </c>
      <c r="P582" s="4" t="s">
        <v>80</v>
      </c>
      <c r="Q582" s="4"/>
      <c r="R582" s="71" t="s">
        <v>1405</v>
      </c>
    </row>
    <row r="583" spans="1:18" hidden="1" x14ac:dyDescent="0.2">
      <c r="A583" s="24" t="s">
        <v>97</v>
      </c>
      <c r="B583" s="5" t="s">
        <v>2</v>
      </c>
      <c r="C583" s="5" t="s">
        <v>30</v>
      </c>
      <c r="D583" s="4" t="s">
        <v>1105</v>
      </c>
      <c r="E583" s="4" t="s">
        <v>718</v>
      </c>
      <c r="F583" s="43" t="s">
        <v>639</v>
      </c>
      <c r="G583" s="43" t="s">
        <v>600</v>
      </c>
      <c r="H583" s="43" t="s">
        <v>601</v>
      </c>
      <c r="I583" s="85" t="s">
        <v>600</v>
      </c>
      <c r="J583" s="147" t="s">
        <v>705</v>
      </c>
      <c r="K583" s="147" t="s">
        <v>509</v>
      </c>
      <c r="L583" s="147" t="s">
        <v>471</v>
      </c>
      <c r="M583" s="101" t="s">
        <v>1401</v>
      </c>
      <c r="N583" s="101" t="s">
        <v>1401</v>
      </c>
      <c r="O583" s="101" t="s">
        <v>1401</v>
      </c>
      <c r="P583" s="4" t="s">
        <v>80</v>
      </c>
      <c r="Q583" s="176"/>
      <c r="R583" s="179"/>
    </row>
    <row r="584" spans="1:18" hidden="1" x14ac:dyDescent="0.2">
      <c r="A584" s="24" t="s">
        <v>368</v>
      </c>
      <c r="B584" s="5" t="s">
        <v>12</v>
      </c>
      <c r="C584" s="5" t="s">
        <v>3</v>
      </c>
      <c r="D584" s="4" t="s">
        <v>369</v>
      </c>
      <c r="E584" s="4">
        <v>2025</v>
      </c>
      <c r="F584" s="4" t="str">
        <f>VLOOKUP(I584,'Трансп. каталог'!$F$3:$I$743,2,0)</f>
        <v>не позднее 16.09.2025</v>
      </c>
      <c r="G584" s="67" t="str">
        <f>VLOOKUP(I584,'Трансп. каталог'!$F$3:$I$743,3,0)</f>
        <v>C 16 сентября по 10 октября</v>
      </c>
      <c r="H584" s="24" t="s">
        <v>443</v>
      </c>
      <c r="I584" s="25" t="str">
        <f t="shared" ref="I584:I591" si="10">CONCATENATE(A584,H584)</f>
        <v>061700201012025</v>
      </c>
      <c r="J584" s="43" t="s">
        <v>1368</v>
      </c>
      <c r="K584" s="43" t="s">
        <v>582</v>
      </c>
      <c r="L584" s="43" t="s">
        <v>717</v>
      </c>
      <c r="M584" s="83" t="s">
        <v>582</v>
      </c>
      <c r="N584" s="88" t="s">
        <v>600</v>
      </c>
      <c r="O584" s="88" t="s">
        <v>504</v>
      </c>
      <c r="P584" s="4" t="s">
        <v>370</v>
      </c>
      <c r="Q584" s="4" t="s">
        <v>16</v>
      </c>
      <c r="R584" s="71">
        <f>VLOOKUP(I584,'Трансп. каталог'!$F$3:$I$743,4,0)</f>
        <v>0</v>
      </c>
    </row>
    <row r="585" spans="1:18" hidden="1" x14ac:dyDescent="0.2">
      <c r="A585" s="24" t="s">
        <v>371</v>
      </c>
      <c r="B585" s="5" t="s">
        <v>2</v>
      </c>
      <c r="C585" s="5" t="s">
        <v>3</v>
      </c>
      <c r="D585" s="4" t="s">
        <v>372</v>
      </c>
      <c r="E585" s="4" t="s">
        <v>446</v>
      </c>
      <c r="F585" s="4" t="str">
        <f>VLOOKUP(I585,'Трансп. каталог'!$F$3:$I$743,2,0)</f>
        <v>не позднее 28.03.2025</v>
      </c>
      <c r="G585" s="67">
        <f>VLOOKUP(I585,'Трансп. каталог'!$F$3:$I$743,3,0)</f>
        <v>0</v>
      </c>
      <c r="H585" s="24" t="s">
        <v>447</v>
      </c>
      <c r="I585" s="25" t="str">
        <f t="shared" si="10"/>
        <v>061700404012025</v>
      </c>
      <c r="J585" s="150" t="s">
        <v>703</v>
      </c>
      <c r="K585" s="150" t="s">
        <v>393</v>
      </c>
      <c r="L585" s="150" t="s">
        <v>409</v>
      </c>
      <c r="M585" s="99" t="s">
        <v>393</v>
      </c>
      <c r="N585" s="95" t="s">
        <v>527</v>
      </c>
      <c r="O585" s="95" t="s">
        <v>637</v>
      </c>
      <c r="P585" s="4" t="s">
        <v>373</v>
      </c>
      <c r="Q585" s="4" t="s">
        <v>16</v>
      </c>
      <c r="R585" s="71">
        <f>VLOOKUP(I585,'Трансп. каталог'!$F$3:$I$743,4,0)</f>
        <v>0</v>
      </c>
    </row>
    <row r="586" spans="1:18" hidden="1" x14ac:dyDescent="0.2">
      <c r="A586" s="24" t="s">
        <v>371</v>
      </c>
      <c r="B586" s="5" t="s">
        <v>2</v>
      </c>
      <c r="C586" s="5" t="s">
        <v>3</v>
      </c>
      <c r="D586" s="4" t="s">
        <v>372</v>
      </c>
      <c r="E586" s="4" t="s">
        <v>449</v>
      </c>
      <c r="F586" s="4" t="str">
        <f>VLOOKUP(I586,'Трансп. каталог'!$F$3:$I$743,2,0)</f>
        <v>не позднее 27.06.2025</v>
      </c>
      <c r="G586" s="67">
        <f>VLOOKUP(I586,'Трансп. каталог'!$F$3:$I$743,3,0)</f>
        <v>0</v>
      </c>
      <c r="H586" s="24" t="s">
        <v>450</v>
      </c>
      <c r="I586" s="25" t="str">
        <f t="shared" si="10"/>
        <v>061700404022025</v>
      </c>
      <c r="J586" s="110" t="s">
        <v>688</v>
      </c>
      <c r="K586" s="110" t="s">
        <v>483</v>
      </c>
      <c r="L586" s="110" t="s">
        <v>552</v>
      </c>
      <c r="M586" s="99" t="s">
        <v>483</v>
      </c>
      <c r="N586" s="95" t="s">
        <v>578</v>
      </c>
      <c r="O586" s="95" t="s">
        <v>596</v>
      </c>
      <c r="P586" s="4" t="s">
        <v>373</v>
      </c>
      <c r="Q586" s="4" t="s">
        <v>16</v>
      </c>
      <c r="R586" s="71">
        <f>VLOOKUP(I586,'Трансп. каталог'!$F$3:$I$743,4,0)</f>
        <v>0</v>
      </c>
    </row>
    <row r="587" spans="1:18" hidden="1" x14ac:dyDescent="0.2">
      <c r="A587" s="24" t="s">
        <v>371</v>
      </c>
      <c r="B587" s="5" t="s">
        <v>2</v>
      </c>
      <c r="C587" s="5" t="s">
        <v>3</v>
      </c>
      <c r="D587" s="4" t="s">
        <v>372</v>
      </c>
      <c r="E587" s="4" t="s">
        <v>452</v>
      </c>
      <c r="F587" s="4" t="str">
        <f>VLOOKUP(I587,'Трансп. каталог'!$F$3:$I$743,2,0)</f>
        <v>не позднее 29.09.2025</v>
      </c>
      <c r="G587" s="67">
        <f>VLOOKUP(I587,'Трансп. каталог'!$F$3:$I$743,3,0)</f>
        <v>0</v>
      </c>
      <c r="H587" s="24" t="s">
        <v>453</v>
      </c>
      <c r="I587" s="25" t="str">
        <f t="shared" si="10"/>
        <v>061700404032025</v>
      </c>
      <c r="J587" s="43" t="s">
        <v>639</v>
      </c>
      <c r="K587" s="43" t="s">
        <v>485</v>
      </c>
      <c r="L587" s="43" t="s">
        <v>556</v>
      </c>
      <c r="M587" s="83" t="s">
        <v>485</v>
      </c>
      <c r="N587" s="88" t="s">
        <v>516</v>
      </c>
      <c r="O587" s="88" t="s">
        <v>674</v>
      </c>
      <c r="P587" s="4" t="s">
        <v>373</v>
      </c>
      <c r="Q587" s="4" t="s">
        <v>16</v>
      </c>
      <c r="R587" s="71">
        <f>VLOOKUP(I587,'Трансп. каталог'!$F$3:$I$743,4,0)</f>
        <v>0</v>
      </c>
    </row>
    <row r="588" spans="1:18" hidden="1" x14ac:dyDescent="0.2">
      <c r="A588" s="38" t="s">
        <v>371</v>
      </c>
      <c r="B588" s="8" t="s">
        <v>2</v>
      </c>
      <c r="C588" s="8" t="s">
        <v>3</v>
      </c>
      <c r="D588" s="7" t="s">
        <v>372</v>
      </c>
      <c r="E588" s="7" t="s">
        <v>718</v>
      </c>
      <c r="F588" s="7" t="e">
        <f>VLOOKUP(I588,'Трансп. каталог'!$F$3:$I$743,2,0)</f>
        <v>#N/A</v>
      </c>
      <c r="G588" s="70" t="e">
        <f>VLOOKUP(I588,'Трансп. каталог'!$F$3:$I$743,3,0)</f>
        <v>#N/A</v>
      </c>
      <c r="H588" s="38" t="s">
        <v>719</v>
      </c>
      <c r="I588" s="39" t="str">
        <f t="shared" si="10"/>
        <v>061700404042024</v>
      </c>
      <c r="J588" s="150" t="s">
        <v>705</v>
      </c>
      <c r="K588" s="150" t="s">
        <v>462</v>
      </c>
      <c r="L588" s="150" t="s">
        <v>585</v>
      </c>
      <c r="M588" s="99" t="s">
        <v>462</v>
      </c>
      <c r="N588" s="95" t="s">
        <v>464</v>
      </c>
      <c r="O588" s="95" t="s">
        <v>1384</v>
      </c>
      <c r="P588" s="7" t="s">
        <v>373</v>
      </c>
      <c r="Q588" s="7" t="s">
        <v>16</v>
      </c>
      <c r="R588" s="71"/>
    </row>
    <row r="589" spans="1:18" hidden="1" x14ac:dyDescent="0.2">
      <c r="A589" s="27" t="s">
        <v>374</v>
      </c>
      <c r="B589" s="28" t="s">
        <v>2</v>
      </c>
      <c r="C589" s="28" t="s">
        <v>30</v>
      </c>
      <c r="D589" s="26" t="s">
        <v>375</v>
      </c>
      <c r="E589" s="26">
        <v>2024</v>
      </c>
      <c r="F589" s="26" t="str">
        <f>VLOOKUP(I589,'Трансп. каталог'!$F$3:$I$743,2,0)</f>
        <v>не позднее 28.12.2024</v>
      </c>
      <c r="G589" s="68" t="str">
        <f>VLOOKUP(I589,'Трансп. каталог'!$F$3:$I$743,3,0)</f>
        <v>с 1-го рабочего дня января по 4 февраля после отчетного периода</v>
      </c>
      <c r="H589" s="27" t="s">
        <v>392</v>
      </c>
      <c r="I589" s="29" t="str">
        <f t="shared" si="10"/>
        <v>061700801012024</v>
      </c>
      <c r="J589" s="141" t="s">
        <v>398</v>
      </c>
      <c r="K589" s="141" t="s">
        <v>462</v>
      </c>
      <c r="L589" s="141" t="s">
        <v>401</v>
      </c>
      <c r="M589" s="99" t="s">
        <v>462</v>
      </c>
      <c r="N589" s="95" t="s">
        <v>470</v>
      </c>
      <c r="O589" s="95" t="s">
        <v>397</v>
      </c>
      <c r="P589" s="26" t="s">
        <v>367</v>
      </c>
      <c r="Q589" s="174"/>
      <c r="R589" s="178">
        <f>VLOOKUP(I589,'Трансп. каталог'!$F$3:$I$743,4,0)</f>
        <v>0</v>
      </c>
    </row>
    <row r="590" spans="1:18" hidden="1" x14ac:dyDescent="0.2">
      <c r="A590" s="27" t="s">
        <v>376</v>
      </c>
      <c r="B590" s="28" t="s">
        <v>2</v>
      </c>
      <c r="C590" s="28" t="s">
        <v>3</v>
      </c>
      <c r="D590" s="26" t="s">
        <v>377</v>
      </c>
      <c r="E590" s="26">
        <v>2024</v>
      </c>
      <c r="F590" s="26" t="e">
        <f>VLOOKUP(I590,'Трансп. каталог'!$F$3:$I$743,2,0)</f>
        <v>#N/A</v>
      </c>
      <c r="G590" s="68" t="e">
        <f>VLOOKUP(I590,'Трансп. каталог'!$F$3:$I$743,3,0)</f>
        <v>#N/A</v>
      </c>
      <c r="H590" s="27" t="s">
        <v>392</v>
      </c>
      <c r="I590" s="29" t="str">
        <f t="shared" si="10"/>
        <v>061701001012024</v>
      </c>
      <c r="J590" s="142" t="s">
        <v>406</v>
      </c>
      <c r="K590" s="141" t="s">
        <v>585</v>
      </c>
      <c r="L590" s="141" t="s">
        <v>413</v>
      </c>
      <c r="M590" s="157" t="s">
        <v>585</v>
      </c>
      <c r="N590" s="168" t="s">
        <v>469</v>
      </c>
      <c r="O590" s="168" t="s">
        <v>546</v>
      </c>
      <c r="P590" s="26" t="s">
        <v>373</v>
      </c>
      <c r="Q590" s="174" t="s">
        <v>16</v>
      </c>
      <c r="R590" s="178"/>
    </row>
    <row r="591" spans="1:18" hidden="1" x14ac:dyDescent="0.2">
      <c r="A591" s="27" t="s">
        <v>378</v>
      </c>
      <c r="B591" s="28" t="s">
        <v>2</v>
      </c>
      <c r="C591" s="28" t="s">
        <v>30</v>
      </c>
      <c r="D591" s="26" t="s">
        <v>379</v>
      </c>
      <c r="E591" s="26">
        <v>2024</v>
      </c>
      <c r="F591" s="26" t="e">
        <f>VLOOKUP(I591,'Трансп. каталог'!$F$3:$I$743,2,0)</f>
        <v>#N/A</v>
      </c>
      <c r="G591" s="68" t="e">
        <f>VLOOKUP(I591,'Трансп. каталог'!$F$3:$I$743,3,0)</f>
        <v>#N/A</v>
      </c>
      <c r="H591" s="27" t="s">
        <v>392</v>
      </c>
      <c r="I591" s="29" t="str">
        <f t="shared" si="10"/>
        <v>061701701012024</v>
      </c>
      <c r="J591" s="141" t="s">
        <v>647</v>
      </c>
      <c r="K591" s="141" t="s">
        <v>585</v>
      </c>
      <c r="L591" s="141" t="s">
        <v>473</v>
      </c>
      <c r="M591" s="106" t="s">
        <v>585</v>
      </c>
      <c r="N591" s="107" t="s">
        <v>550</v>
      </c>
      <c r="O591" s="107" t="s">
        <v>1429</v>
      </c>
      <c r="P591" s="26" t="s">
        <v>380</v>
      </c>
      <c r="Q591" s="174" t="s">
        <v>16</v>
      </c>
      <c r="R591" s="178"/>
    </row>
    <row r="592" spans="1:18" hidden="1" x14ac:dyDescent="0.2">
      <c r="A592" s="24" t="s">
        <v>1047</v>
      </c>
      <c r="B592" s="5" t="s">
        <v>2</v>
      </c>
      <c r="C592" s="5" t="s">
        <v>3</v>
      </c>
      <c r="D592" s="4" t="s">
        <v>1048</v>
      </c>
      <c r="E592" s="4" t="s">
        <v>446</v>
      </c>
      <c r="F592" s="191" t="s">
        <v>1431</v>
      </c>
      <c r="G592" s="146" t="s">
        <v>1432</v>
      </c>
      <c r="H592" s="146" t="s">
        <v>1433</v>
      </c>
      <c r="I592" s="104" t="s">
        <v>1432</v>
      </c>
      <c r="J592" s="192">
        <v>45761</v>
      </c>
      <c r="K592" s="150" t="s">
        <v>393</v>
      </c>
      <c r="L592" s="203">
        <v>45772</v>
      </c>
      <c r="M592" s="199" t="s">
        <v>393</v>
      </c>
      <c r="N592" s="199" t="s">
        <v>1434</v>
      </c>
      <c r="O592" s="199" t="s">
        <v>1435</v>
      </c>
      <c r="P592" s="197" t="s">
        <v>1446</v>
      </c>
      <c r="Q592" s="4" t="s">
        <v>226</v>
      </c>
    </row>
    <row r="593" spans="1:17" hidden="1" x14ac:dyDescent="0.2">
      <c r="A593" s="24" t="s">
        <v>1047</v>
      </c>
      <c r="B593" s="5" t="s">
        <v>2</v>
      </c>
      <c r="C593" s="5" t="s">
        <v>3</v>
      </c>
      <c r="D593" s="4" t="s">
        <v>1048</v>
      </c>
      <c r="E593" s="4" t="s">
        <v>449</v>
      </c>
      <c r="F593" s="191" t="s">
        <v>1436</v>
      </c>
      <c r="G593" s="191" t="s">
        <v>672</v>
      </c>
      <c r="H593" s="191" t="s">
        <v>1437</v>
      </c>
      <c r="I593" s="104" t="s">
        <v>672</v>
      </c>
      <c r="J593" s="152">
        <v>45852</v>
      </c>
      <c r="K593" s="110" t="s">
        <v>483</v>
      </c>
      <c r="L593" s="229">
        <v>45863</v>
      </c>
      <c r="M593" s="199" t="s">
        <v>672</v>
      </c>
      <c r="N593" s="199" t="s">
        <v>1438</v>
      </c>
      <c r="O593" s="199" t="s">
        <v>1439</v>
      </c>
      <c r="P593" s="197" t="s">
        <v>1446</v>
      </c>
      <c r="Q593" s="4" t="s">
        <v>226</v>
      </c>
    </row>
    <row r="594" spans="1:17" hidden="1" x14ac:dyDescent="0.2">
      <c r="A594" s="24" t="s">
        <v>1047</v>
      </c>
      <c r="B594" s="5" t="s">
        <v>2</v>
      </c>
      <c r="C594" s="5" t="s">
        <v>3</v>
      </c>
      <c r="D594" s="4" t="s">
        <v>1048</v>
      </c>
      <c r="E594" s="4" t="s">
        <v>452</v>
      </c>
      <c r="F594" s="191" t="s">
        <v>1440</v>
      </c>
      <c r="G594" s="191" t="s">
        <v>1441</v>
      </c>
      <c r="H594" s="191" t="s">
        <v>1442</v>
      </c>
      <c r="I594" s="104" t="s">
        <v>1441</v>
      </c>
      <c r="J594" s="148">
        <v>45944</v>
      </c>
      <c r="K594" s="43" t="s">
        <v>485</v>
      </c>
      <c r="L594" s="204">
        <v>45957</v>
      </c>
      <c r="M594" s="200" t="s">
        <v>1443</v>
      </c>
      <c r="N594" s="200" t="s">
        <v>1444</v>
      </c>
      <c r="O594" s="201"/>
      <c r="P594" s="197" t="s">
        <v>1446</v>
      </c>
      <c r="Q594" s="4" t="s">
        <v>226</v>
      </c>
    </row>
    <row r="595" spans="1:17" hidden="1" x14ac:dyDescent="0.2">
      <c r="A595" s="38" t="s">
        <v>1047</v>
      </c>
      <c r="B595" s="8" t="s">
        <v>2</v>
      </c>
      <c r="C595" s="8" t="s">
        <v>3</v>
      </c>
      <c r="D595" s="7" t="s">
        <v>1048</v>
      </c>
      <c r="E595" s="7" t="s">
        <v>456</v>
      </c>
      <c r="F595" s="194">
        <v>45679</v>
      </c>
      <c r="G595" s="195" t="s">
        <v>1445</v>
      </c>
      <c r="H595" s="195" t="s">
        <v>397</v>
      </c>
      <c r="I595" s="196">
        <v>45666</v>
      </c>
      <c r="J595" s="193">
        <v>46044</v>
      </c>
      <c r="K595" s="193">
        <v>46031</v>
      </c>
      <c r="L595" s="205">
        <v>46057</v>
      </c>
      <c r="M595" s="202">
        <v>45677</v>
      </c>
      <c r="N595" s="202">
        <v>45678</v>
      </c>
      <c r="O595" s="201"/>
      <c r="P595" s="198" t="s">
        <v>1446</v>
      </c>
      <c r="Q595" s="7" t="s">
        <v>226</v>
      </c>
    </row>
  </sheetData>
  <autoFilter ref="A1:R595" xr:uid="{00000000-0001-0000-0000-000000000000}">
    <filterColumn colId="0">
      <filters>
        <filter val="0609707"/>
      </filters>
    </filterColumn>
  </autoFilter>
  <customSheetViews>
    <customSheetView guid="{532A3ABE-C0B8-454E-8312-409D07F8E1BC}" filter="1" showAutoFilter="1" hiddenColumns="1">
      <pane ySplit="412" topLeftCell="A414" activePane="bottomLeft" state="frozen"/>
      <selection pane="bottomLeft" activeCell="E605" sqref="E605"/>
      <pageMargins left="0.44999999999999996" right="0.44999999999999996" top="0.44999999999999996" bottom="0.35" header="0.3" footer="0.3"/>
      <pageSetup paperSize="9" orientation="portrait" verticalDpi="0" r:id="rId1"/>
      <autoFilter ref="A1:R594" xr:uid="{6A44F51E-4D0D-43C1-925E-4E066376FD58}">
        <filterColumn colId="0">
          <filters>
            <filter val="0609253"/>
          </filters>
        </filterColumn>
      </autoFilter>
    </customSheetView>
    <customSheetView guid="{F18C6564-9F45-4CD0-9A1D-FBB403DEA45A}" filter="1" showAutoFilter="1" hiddenColumns="1">
      <pane ySplit="3" topLeftCell="A4" activePane="bottomLeft" state="frozen"/>
      <selection pane="bottomLeft" activeCell="L565" sqref="L565"/>
      <pageMargins left="0.44999999999999996" right="0.44999999999999996" top="0.44999999999999996" bottom="0.35" header="0.3" footer="0.3"/>
      <pageSetup paperSize="9" orientation="portrait" verticalDpi="0" r:id="rId2"/>
      <autoFilter ref="A3:R618" xr:uid="{3A529384-8314-4D57-B5B9-C17BFC16AFB5}">
        <filterColumn colId="0">
          <filters>
            <filter val="0611006"/>
          </filters>
        </filterColumn>
      </autoFilter>
    </customSheetView>
    <customSheetView guid="{C805C1EB-A6EB-4CC0-BBC3-CBBBADADA5C8}" showAutoFilter="1" hiddenColumns="1">
      <pane ySplit="1" topLeftCell="A230" activePane="bottomLeft" state="frozen"/>
      <selection pane="bottomLeft" activeCell="M608" sqref="M608"/>
      <pageMargins left="0.44999999999999996" right="0.44999999999999996" top="0.44999999999999996" bottom="0.35" header="0.3" footer="0.3"/>
      <pageSetup paperSize="9" orientation="portrait" verticalDpi="0" r:id="rId3"/>
      <autoFilter ref="A1:R593" xr:uid="{4EA7F95E-A690-407B-9F49-96B0D9AE3CB6}"/>
    </customSheetView>
  </customSheetViews>
  <pageMargins left="0.44999999999999996" right="0.44999999999999996" top="0.44999999999999996" bottom="0.35" header="0.3" footer="0.3"/>
  <pageSetup paperSize="9"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sqref="A1:XFD1048576"/>
    </sheetView>
  </sheetViews>
  <sheetFormatPr defaultRowHeight="15" x14ac:dyDescent="0.25"/>
  <cols>
    <col min="3" max="3" width="0" hidden="1" customWidth="1"/>
    <col min="4" max="4" width="24.140625" customWidth="1"/>
    <col min="5" max="5" width="18.85546875" bestFit="1" customWidth="1"/>
    <col min="6" max="6" width="11.140625" hidden="1" customWidth="1"/>
    <col min="7" max="8" width="11.140625" bestFit="1" customWidth="1"/>
  </cols>
  <sheetData>
    <row r="1" spans="1:8" x14ac:dyDescent="0.25">
      <c r="A1" s="218"/>
      <c r="B1" s="219"/>
      <c r="C1" s="219"/>
      <c r="D1" s="220"/>
      <c r="E1" s="220"/>
      <c r="F1" s="219"/>
      <c r="G1" s="219"/>
      <c r="H1" s="219"/>
    </row>
    <row r="2" spans="1:8" x14ac:dyDescent="0.25">
      <c r="A2" s="221"/>
      <c r="B2" s="222"/>
      <c r="C2" s="222"/>
      <c r="D2" s="223"/>
      <c r="E2" s="223"/>
      <c r="F2" s="224"/>
      <c r="G2" s="224"/>
      <c r="H2" s="224"/>
    </row>
    <row r="3" spans="1:8" x14ac:dyDescent="0.25">
      <c r="A3" s="221"/>
      <c r="B3" s="222"/>
      <c r="C3" s="222"/>
      <c r="D3" s="223"/>
      <c r="E3" s="223"/>
      <c r="F3" s="225"/>
      <c r="G3" s="226"/>
      <c r="H3" s="226"/>
    </row>
    <row r="4" spans="1:8" x14ac:dyDescent="0.25">
      <c r="A4" s="221"/>
      <c r="B4" s="222"/>
      <c r="C4" s="222"/>
      <c r="D4" s="223"/>
      <c r="E4" s="223"/>
      <c r="F4" s="224"/>
      <c r="G4" s="224"/>
      <c r="H4" s="224"/>
    </row>
    <row r="5" spans="1:8" x14ac:dyDescent="0.25">
      <c r="A5" s="221"/>
      <c r="B5" s="222"/>
      <c r="C5" s="222"/>
      <c r="D5" s="223"/>
      <c r="E5" s="223"/>
      <c r="F5" s="224"/>
      <c r="G5" s="224"/>
      <c r="H5" s="224"/>
    </row>
    <row r="6" spans="1:8" x14ac:dyDescent="0.25">
      <c r="A6" s="221"/>
      <c r="B6" s="222"/>
      <c r="C6" s="222"/>
      <c r="D6" s="223"/>
      <c r="E6" s="223"/>
      <c r="F6" s="224"/>
      <c r="G6" s="224"/>
      <c r="H6" s="224"/>
    </row>
    <row r="7" spans="1:8" x14ac:dyDescent="0.25">
      <c r="A7" s="221"/>
      <c r="B7" s="222"/>
      <c r="C7" s="222"/>
      <c r="D7" s="223"/>
      <c r="E7" s="223"/>
      <c r="F7" s="224"/>
      <c r="G7" s="224"/>
      <c r="H7" s="224"/>
    </row>
    <row r="8" spans="1:8" x14ac:dyDescent="0.25">
      <c r="A8" s="221"/>
      <c r="B8" s="222"/>
      <c r="C8" s="222"/>
      <c r="D8" s="223"/>
      <c r="E8" s="223"/>
      <c r="F8" s="224"/>
      <c r="G8" s="224"/>
      <c r="H8" s="224"/>
    </row>
    <row r="9" spans="1:8" x14ac:dyDescent="0.25">
      <c r="A9" s="221"/>
      <c r="B9" s="222"/>
      <c r="C9" s="222"/>
      <c r="D9" s="223"/>
      <c r="E9" s="223"/>
      <c r="F9" s="224"/>
      <c r="G9" s="224"/>
      <c r="H9" s="224"/>
    </row>
    <row r="10" spans="1:8" x14ac:dyDescent="0.25">
      <c r="A10" s="221"/>
      <c r="B10" s="222"/>
      <c r="C10" s="222"/>
      <c r="D10" s="223"/>
      <c r="E10" s="223"/>
      <c r="F10" s="224"/>
      <c r="G10" s="224"/>
      <c r="H10" s="224"/>
    </row>
    <row r="11" spans="1:8" x14ac:dyDescent="0.25">
      <c r="A11" s="221"/>
      <c r="B11" s="222"/>
      <c r="C11" s="222"/>
      <c r="D11" s="223"/>
      <c r="E11" s="223"/>
      <c r="F11" s="224"/>
      <c r="G11" s="224"/>
      <c r="H11" s="224"/>
    </row>
    <row r="12" spans="1:8" x14ac:dyDescent="0.25">
      <c r="A12" s="221"/>
      <c r="B12" s="222"/>
      <c r="C12" s="222"/>
      <c r="D12" s="223"/>
      <c r="E12" s="223"/>
      <c r="F12" s="224"/>
      <c r="G12" s="224"/>
      <c r="H12" s="224"/>
    </row>
    <row r="13" spans="1:8" x14ac:dyDescent="0.25">
      <c r="A13" s="221"/>
      <c r="B13" s="222"/>
      <c r="C13" s="222"/>
      <c r="D13" s="223"/>
      <c r="E13" s="223"/>
      <c r="F13" s="224"/>
      <c r="G13" s="224"/>
      <c r="H13" s="224"/>
    </row>
    <row r="14" spans="1:8" x14ac:dyDescent="0.25">
      <c r="A14" s="221"/>
      <c r="B14" s="222"/>
      <c r="C14" s="222"/>
      <c r="D14" s="223"/>
      <c r="E14" s="223"/>
      <c r="F14" s="224"/>
      <c r="G14" s="224"/>
      <c r="H14" s="224"/>
    </row>
    <row r="15" spans="1:8" x14ac:dyDescent="0.25">
      <c r="A15" s="221"/>
      <c r="B15" s="222"/>
      <c r="C15" s="222"/>
      <c r="D15" s="223"/>
      <c r="E15" s="223"/>
      <c r="F15" s="224"/>
      <c r="G15" s="224"/>
      <c r="H15" s="224"/>
    </row>
    <row r="16" spans="1:8" x14ac:dyDescent="0.25">
      <c r="A16" s="221"/>
      <c r="B16" s="222"/>
      <c r="C16" s="222"/>
      <c r="D16" s="223"/>
      <c r="E16" s="223"/>
      <c r="F16" s="224"/>
      <c r="G16" s="224"/>
      <c r="H16" s="224"/>
    </row>
    <row r="17" spans="1:8" x14ac:dyDescent="0.25">
      <c r="A17" s="221"/>
      <c r="B17" s="222"/>
      <c r="C17" s="222"/>
      <c r="D17" s="223"/>
      <c r="E17" s="223"/>
      <c r="F17" s="224"/>
      <c r="G17" s="224"/>
      <c r="H17" s="224"/>
    </row>
    <row r="18" spans="1:8" x14ac:dyDescent="0.25">
      <c r="A18" s="221"/>
      <c r="B18" s="222"/>
      <c r="C18" s="222"/>
      <c r="D18" s="223"/>
      <c r="E18" s="223"/>
      <c r="F18" s="224"/>
      <c r="G18" s="224"/>
      <c r="H18" s="224"/>
    </row>
    <row r="19" spans="1:8" x14ac:dyDescent="0.25">
      <c r="A19" s="221"/>
      <c r="B19" s="222"/>
      <c r="C19" s="222"/>
      <c r="D19" s="223"/>
      <c r="E19" s="223"/>
      <c r="F19" s="224"/>
      <c r="G19" s="224"/>
      <c r="H19" s="224"/>
    </row>
    <row r="20" spans="1:8" x14ac:dyDescent="0.25">
      <c r="A20" s="221"/>
      <c r="B20" s="222"/>
      <c r="C20" s="222"/>
      <c r="D20" s="223"/>
      <c r="E20" s="223"/>
      <c r="F20" s="224"/>
      <c r="G20" s="224"/>
      <c r="H20" s="224"/>
    </row>
    <row r="21" spans="1:8" x14ac:dyDescent="0.25">
      <c r="A21" s="221"/>
      <c r="B21" s="222"/>
      <c r="C21" s="222"/>
      <c r="D21" s="223"/>
      <c r="E21" s="223"/>
      <c r="F21" s="224"/>
      <c r="G21" s="224"/>
      <c r="H21" s="224"/>
    </row>
    <row r="22" spans="1:8" x14ac:dyDescent="0.25">
      <c r="A22" s="221"/>
      <c r="B22" s="222"/>
      <c r="C22" s="222"/>
      <c r="D22" s="223"/>
      <c r="E22" s="223"/>
      <c r="F22" s="224"/>
      <c r="G22" s="224"/>
      <c r="H22" s="224"/>
    </row>
    <row r="23" spans="1:8" x14ac:dyDescent="0.25">
      <c r="A23" s="221"/>
      <c r="B23" s="222"/>
      <c r="C23" s="222"/>
      <c r="D23" s="223"/>
      <c r="E23" s="223"/>
      <c r="F23" s="224"/>
      <c r="G23" s="224"/>
      <c r="H23" s="224"/>
    </row>
    <row r="24" spans="1:8" x14ac:dyDescent="0.25">
      <c r="A24" s="221"/>
      <c r="B24" s="222"/>
      <c r="C24" s="222"/>
      <c r="D24" s="223"/>
      <c r="E24" s="223"/>
      <c r="F24" s="224"/>
      <c r="G24" s="224"/>
      <c r="H24" s="224"/>
    </row>
    <row r="25" spans="1:8" x14ac:dyDescent="0.25">
      <c r="A25" s="221"/>
      <c r="B25" s="222"/>
      <c r="C25" s="222"/>
      <c r="D25" s="223"/>
      <c r="E25" s="223"/>
      <c r="F25" s="224"/>
      <c r="G25" s="224"/>
      <c r="H25" s="224"/>
    </row>
    <row r="26" spans="1:8" x14ac:dyDescent="0.25">
      <c r="A26" s="221"/>
      <c r="B26" s="222"/>
      <c r="C26" s="222"/>
      <c r="D26" s="223"/>
      <c r="E26" s="223"/>
      <c r="F26" s="224"/>
      <c r="G26" s="224"/>
      <c r="H26" s="224"/>
    </row>
    <row r="27" spans="1:8" x14ac:dyDescent="0.25">
      <c r="A27" s="221"/>
      <c r="B27" s="222"/>
      <c r="C27" s="222"/>
      <c r="D27" s="223"/>
      <c r="E27" s="223"/>
      <c r="F27" s="224"/>
      <c r="G27" s="224"/>
      <c r="H27" s="224"/>
    </row>
    <row r="28" spans="1:8" x14ac:dyDescent="0.25">
      <c r="A28" s="221"/>
      <c r="B28" s="222"/>
      <c r="C28" s="222"/>
      <c r="D28" s="223"/>
      <c r="E28" s="223"/>
      <c r="F28" s="224"/>
      <c r="G28" s="224"/>
      <c r="H28" s="224"/>
    </row>
    <row r="29" spans="1:8" x14ac:dyDescent="0.25">
      <c r="A29" s="221"/>
      <c r="B29" s="222"/>
      <c r="C29" s="222"/>
      <c r="D29" s="223"/>
      <c r="E29" s="223"/>
      <c r="F29" s="224"/>
      <c r="G29" s="224"/>
      <c r="H29" s="224"/>
    </row>
    <row r="30" spans="1:8" x14ac:dyDescent="0.25">
      <c r="A30" s="221"/>
      <c r="B30" s="222"/>
      <c r="C30" s="222"/>
      <c r="D30" s="223"/>
      <c r="E30" s="223"/>
      <c r="F30" s="224"/>
      <c r="G30" s="224"/>
      <c r="H30" s="224"/>
    </row>
    <row r="31" spans="1:8" x14ac:dyDescent="0.25">
      <c r="A31" s="221"/>
      <c r="B31" s="222"/>
      <c r="C31" s="222"/>
      <c r="D31" s="223"/>
      <c r="E31" s="223"/>
      <c r="F31" s="224"/>
      <c r="G31" s="224"/>
      <c r="H31" s="224"/>
    </row>
    <row r="32" spans="1:8" x14ac:dyDescent="0.25">
      <c r="A32" s="221"/>
      <c r="B32" s="222"/>
      <c r="C32" s="222"/>
      <c r="D32" s="223"/>
      <c r="E32" s="223"/>
      <c r="F32" s="224"/>
      <c r="G32" s="224"/>
      <c r="H32" s="224"/>
    </row>
    <row r="33" spans="1:8" x14ac:dyDescent="0.25">
      <c r="A33" s="221"/>
      <c r="B33" s="222"/>
      <c r="C33" s="222"/>
      <c r="D33" s="223"/>
      <c r="E33" s="223"/>
      <c r="F33" s="227"/>
      <c r="G33" s="224"/>
      <c r="H33" s="224"/>
    </row>
    <row r="34" spans="1:8" x14ac:dyDescent="0.25">
      <c r="A34" s="221"/>
      <c r="B34" s="222"/>
      <c r="C34" s="222"/>
      <c r="D34" s="223"/>
      <c r="E34" s="223"/>
      <c r="F34" s="224"/>
      <c r="G34" s="224"/>
      <c r="H34" s="224"/>
    </row>
    <row r="35" spans="1:8" x14ac:dyDescent="0.25">
      <c r="A35" s="221"/>
      <c r="B35" s="222"/>
      <c r="C35" s="222"/>
      <c r="D35" s="223"/>
      <c r="E35" s="223"/>
      <c r="F35" s="224"/>
      <c r="G35" s="224"/>
      <c r="H35" s="224"/>
    </row>
    <row r="36" spans="1:8" x14ac:dyDescent="0.25">
      <c r="A36" s="221"/>
      <c r="B36" s="222"/>
      <c r="C36" s="222"/>
      <c r="D36" s="223"/>
      <c r="E36" s="223"/>
      <c r="F36" s="224"/>
      <c r="G36" s="224"/>
      <c r="H36" s="224"/>
    </row>
    <row r="37" spans="1:8" x14ac:dyDescent="0.25">
      <c r="A37" s="221"/>
      <c r="B37" s="222"/>
      <c r="C37" s="222"/>
      <c r="D37" s="223"/>
      <c r="E37" s="223"/>
      <c r="F37" s="224"/>
      <c r="G37" s="224"/>
      <c r="H37" s="224"/>
    </row>
    <row r="38" spans="1:8" x14ac:dyDescent="0.25">
      <c r="A38" s="221"/>
      <c r="B38" s="222"/>
      <c r="C38" s="222"/>
      <c r="D38" s="223"/>
      <c r="E38" s="223"/>
      <c r="F38" s="224"/>
      <c r="G38" s="224"/>
      <c r="H38" s="224"/>
    </row>
    <row r="39" spans="1:8" x14ac:dyDescent="0.25">
      <c r="A39" s="221"/>
      <c r="B39" s="222"/>
      <c r="C39" s="222"/>
      <c r="D39" s="223"/>
      <c r="E39" s="223"/>
      <c r="F39" s="224"/>
      <c r="G39" s="224"/>
      <c r="H39" s="224"/>
    </row>
    <row r="40" spans="1:8" x14ac:dyDescent="0.25">
      <c r="A40" s="221"/>
      <c r="B40" s="222"/>
      <c r="C40" s="222"/>
      <c r="D40" s="223"/>
      <c r="E40" s="223"/>
      <c r="F40" s="224"/>
      <c r="G40" s="224"/>
      <c r="H40" s="224"/>
    </row>
    <row r="41" spans="1:8" x14ac:dyDescent="0.25">
      <c r="A41" s="221"/>
      <c r="B41" s="222"/>
      <c r="C41" s="222"/>
      <c r="D41" s="223"/>
      <c r="E41" s="223"/>
      <c r="F41" s="224"/>
      <c r="G41" s="224"/>
      <c r="H41" s="224"/>
    </row>
    <row r="42" spans="1:8" x14ac:dyDescent="0.25">
      <c r="A42" s="221"/>
      <c r="B42" s="222"/>
      <c r="C42" s="222"/>
      <c r="D42" s="223"/>
      <c r="E42" s="223"/>
      <c r="F42" s="224"/>
      <c r="G42" s="224"/>
      <c r="H42" s="224"/>
    </row>
    <row r="43" spans="1:8" x14ac:dyDescent="0.25">
      <c r="A43" s="221"/>
      <c r="B43" s="222"/>
      <c r="C43" s="222"/>
      <c r="D43" s="223"/>
      <c r="E43" s="223"/>
      <c r="F43" s="224"/>
      <c r="G43" s="224"/>
      <c r="H43" s="224"/>
    </row>
  </sheetData>
  <customSheetViews>
    <customSheetView guid="{532A3ABE-C0B8-454E-8312-409D07F8E1BC}" showPageBreaks="1">
      <selection activeCell="F20" sqref="F20"/>
      <pageMargins left="0.7" right="0.7" top="0.75" bottom="0.75" header="0.3" footer="0.3"/>
      <pageSetup paperSize="9" orientation="portrait" verticalDpi="0" r:id="rId1"/>
    </customSheetView>
    <customSheetView guid="{C805C1EB-A6EB-4CC0-BBC3-CBBBADADA5C8}">
      <selection activeCell="F20" sqref="F20"/>
      <pageMargins left="0.7" right="0.7" top="0.75" bottom="0.75" header="0.3" footer="0.3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43"/>
  <sheetViews>
    <sheetView zoomScaleNormal="100" workbookViewId="0">
      <pane ySplit="2" topLeftCell="A45" activePane="bottomLeft" state="frozen"/>
      <selection pane="bottomLeft" activeCell="D758" sqref="D758"/>
    </sheetView>
  </sheetViews>
  <sheetFormatPr defaultColWidth="9.140625" defaultRowHeight="12.75" x14ac:dyDescent="0.2"/>
  <cols>
    <col min="1" max="1" width="8.28515625" style="48" bestFit="1" customWidth="1"/>
    <col min="2" max="2" width="25" style="48" bestFit="1" customWidth="1"/>
    <col min="3" max="3" width="67.140625" style="48" bestFit="1" customWidth="1"/>
    <col min="4" max="4" width="24.7109375" style="48" bestFit="1" customWidth="1"/>
    <col min="5" max="5" width="13.7109375" style="48" customWidth="1"/>
    <col min="6" max="6" width="14" style="48" customWidth="1"/>
    <col min="7" max="7" width="51.28515625" style="48" bestFit="1" customWidth="1"/>
    <col min="8" max="8" width="33.140625" style="48" bestFit="1" customWidth="1"/>
    <col min="9" max="9" width="19" style="48" bestFit="1" customWidth="1"/>
    <col min="10" max="16384" width="9.140625" style="48"/>
  </cols>
  <sheetData>
    <row r="1" spans="1:9" ht="13.5" thickBot="1" x14ac:dyDescent="0.25">
      <c r="A1" s="45" t="s">
        <v>0</v>
      </c>
      <c r="B1" s="45"/>
      <c r="C1" s="46"/>
      <c r="D1" s="47"/>
      <c r="I1" s="49">
        <v>45616</v>
      </c>
    </row>
    <row r="2" spans="1:9" ht="25.5" x14ac:dyDescent="0.2">
      <c r="A2" s="50" t="s">
        <v>728</v>
      </c>
      <c r="B2" s="50" t="s">
        <v>729</v>
      </c>
      <c r="C2" s="50" t="s">
        <v>730</v>
      </c>
      <c r="D2" s="50" t="s">
        <v>731</v>
      </c>
      <c r="E2" s="51" t="s">
        <v>722</v>
      </c>
      <c r="F2" s="52" t="s">
        <v>723</v>
      </c>
      <c r="G2" s="50" t="s">
        <v>732</v>
      </c>
      <c r="H2" s="50" t="s">
        <v>733</v>
      </c>
      <c r="I2" s="50" t="s">
        <v>727</v>
      </c>
    </row>
    <row r="3" spans="1:9" ht="25.5" x14ac:dyDescent="0.2">
      <c r="A3" s="53" t="s">
        <v>734</v>
      </c>
      <c r="B3" s="54" t="s">
        <v>735</v>
      </c>
      <c r="C3" s="54" t="s">
        <v>736</v>
      </c>
      <c r="D3" s="54" t="s">
        <v>737</v>
      </c>
      <c r="E3" s="55" t="s">
        <v>443</v>
      </c>
      <c r="F3" s="56" t="str">
        <f t="shared" ref="F3:F66" si="0">CONCATENATE(A3,E3)</f>
        <v>060600701012025</v>
      </c>
      <c r="G3" s="54" t="s">
        <v>455</v>
      </c>
      <c r="H3" s="54" t="s">
        <v>738</v>
      </c>
      <c r="I3" s="57"/>
    </row>
    <row r="4" spans="1:9" ht="25.5" x14ac:dyDescent="0.2">
      <c r="A4" s="53" t="s">
        <v>11</v>
      </c>
      <c r="B4" s="54">
        <v>1</v>
      </c>
      <c r="C4" s="54" t="s">
        <v>739</v>
      </c>
      <c r="D4" s="54" t="s">
        <v>737</v>
      </c>
      <c r="E4" s="55" t="s">
        <v>443</v>
      </c>
      <c r="F4" s="56" t="str">
        <f t="shared" si="0"/>
        <v>060603801012025</v>
      </c>
      <c r="G4" s="54" t="s">
        <v>740</v>
      </c>
      <c r="H4" s="54" t="s">
        <v>741</v>
      </c>
      <c r="I4" s="57"/>
    </row>
    <row r="5" spans="1:9" x14ac:dyDescent="0.2">
      <c r="A5" s="53" t="s">
        <v>175</v>
      </c>
      <c r="B5" s="54" t="s">
        <v>176</v>
      </c>
      <c r="C5" s="54" t="s">
        <v>742</v>
      </c>
      <c r="D5" s="54" t="s">
        <v>737</v>
      </c>
      <c r="E5" s="55" t="s">
        <v>392</v>
      </c>
      <c r="F5" s="56" t="str">
        <f t="shared" si="0"/>
        <v>060100901012024</v>
      </c>
      <c r="G5" s="54" t="s">
        <v>614</v>
      </c>
      <c r="H5" s="54" t="s">
        <v>743</v>
      </c>
      <c r="I5" s="57"/>
    </row>
    <row r="6" spans="1:9" ht="38.25" x14ac:dyDescent="0.2">
      <c r="A6" s="53" t="s">
        <v>308</v>
      </c>
      <c r="B6" s="54" t="s">
        <v>744</v>
      </c>
      <c r="C6" s="54" t="s">
        <v>745</v>
      </c>
      <c r="D6" s="54" t="s">
        <v>737</v>
      </c>
      <c r="E6" s="55" t="s">
        <v>392</v>
      </c>
      <c r="F6" s="56" t="str">
        <f t="shared" si="0"/>
        <v>060102201012024</v>
      </c>
      <c r="G6" s="54" t="s">
        <v>746</v>
      </c>
      <c r="H6" s="54" t="s">
        <v>747</v>
      </c>
      <c r="I6" s="57"/>
    </row>
    <row r="7" spans="1:9" ht="38.25" x14ac:dyDescent="0.2">
      <c r="A7" s="53" t="s">
        <v>305</v>
      </c>
      <c r="B7" s="54" t="s">
        <v>748</v>
      </c>
      <c r="C7" s="54" t="s">
        <v>749</v>
      </c>
      <c r="D7" s="54" t="s">
        <v>737</v>
      </c>
      <c r="E7" s="55" t="s">
        <v>392</v>
      </c>
      <c r="F7" s="56" t="str">
        <f t="shared" si="0"/>
        <v>060102301012024</v>
      </c>
      <c r="G7" s="54" t="s">
        <v>746</v>
      </c>
      <c r="H7" s="54" t="s">
        <v>750</v>
      </c>
      <c r="I7" s="57"/>
    </row>
    <row r="8" spans="1:9" ht="51" x14ac:dyDescent="0.2">
      <c r="A8" s="53" t="s">
        <v>219</v>
      </c>
      <c r="B8" s="54" t="s">
        <v>751</v>
      </c>
      <c r="C8" s="54" t="s">
        <v>752</v>
      </c>
      <c r="D8" s="54" t="s">
        <v>737</v>
      </c>
      <c r="E8" s="55" t="s">
        <v>392</v>
      </c>
      <c r="F8" s="56" t="str">
        <f t="shared" si="0"/>
        <v>060102401012024</v>
      </c>
      <c r="G8" s="54" t="s">
        <v>746</v>
      </c>
      <c r="H8" s="54" t="s">
        <v>753</v>
      </c>
      <c r="I8" s="57"/>
    </row>
    <row r="9" spans="1:9" ht="25.5" x14ac:dyDescent="0.2">
      <c r="A9" s="53" t="s">
        <v>239</v>
      </c>
      <c r="B9" s="54">
        <v>11</v>
      </c>
      <c r="C9" s="54" t="s">
        <v>754</v>
      </c>
      <c r="D9" s="54" t="s">
        <v>737</v>
      </c>
      <c r="E9" s="55" t="s">
        <v>443</v>
      </c>
      <c r="F9" s="56" t="str">
        <f t="shared" si="0"/>
        <v>060200101012025</v>
      </c>
      <c r="G9" s="54" t="s">
        <v>755</v>
      </c>
      <c r="H9" s="54" t="s">
        <v>756</v>
      </c>
      <c r="I9" s="57"/>
    </row>
    <row r="10" spans="1:9" ht="25.5" x14ac:dyDescent="0.2">
      <c r="A10" s="53" t="s">
        <v>252</v>
      </c>
      <c r="B10" s="54" t="s">
        <v>253</v>
      </c>
      <c r="C10" s="54" t="s">
        <v>757</v>
      </c>
      <c r="D10" s="54" t="s">
        <v>737</v>
      </c>
      <c r="E10" s="55" t="s">
        <v>443</v>
      </c>
      <c r="F10" s="56" t="str">
        <f t="shared" si="0"/>
        <v>060200201012025</v>
      </c>
      <c r="G10" s="54" t="s">
        <v>755</v>
      </c>
      <c r="H10" s="54" t="s">
        <v>756</v>
      </c>
      <c r="I10" s="57"/>
    </row>
    <row r="11" spans="1:9" ht="38.25" x14ac:dyDescent="0.2">
      <c r="A11" s="53" t="s">
        <v>254</v>
      </c>
      <c r="B11" s="54" t="s">
        <v>255</v>
      </c>
      <c r="C11" s="54" t="s">
        <v>758</v>
      </c>
      <c r="D11" s="54" t="s">
        <v>737</v>
      </c>
      <c r="E11" s="55" t="s">
        <v>443</v>
      </c>
      <c r="F11" s="56" t="str">
        <f t="shared" si="0"/>
        <v>060200301012025</v>
      </c>
      <c r="G11" s="54" t="s">
        <v>759</v>
      </c>
      <c r="H11" s="54" t="s">
        <v>760</v>
      </c>
      <c r="I11" s="57"/>
    </row>
    <row r="12" spans="1:9" ht="38.25" x14ac:dyDescent="0.2">
      <c r="A12" s="53" t="s">
        <v>246</v>
      </c>
      <c r="B12" s="54" t="s">
        <v>761</v>
      </c>
      <c r="C12" s="54" t="s">
        <v>762</v>
      </c>
      <c r="D12" s="54" t="s">
        <v>737</v>
      </c>
      <c r="E12" s="55" t="s">
        <v>443</v>
      </c>
      <c r="F12" s="56" t="str">
        <f t="shared" si="0"/>
        <v>060200401012025</v>
      </c>
      <c r="G12" s="54" t="s">
        <v>759</v>
      </c>
      <c r="H12" s="54" t="s">
        <v>763</v>
      </c>
      <c r="I12" s="57"/>
    </row>
    <row r="13" spans="1:9" ht="25.5" x14ac:dyDescent="0.2">
      <c r="A13" s="53" t="s">
        <v>764</v>
      </c>
      <c r="B13" s="54" t="s">
        <v>765</v>
      </c>
      <c r="C13" s="54" t="s">
        <v>766</v>
      </c>
      <c r="D13" s="54" t="s">
        <v>737</v>
      </c>
      <c r="E13" s="55" t="s">
        <v>392</v>
      </c>
      <c r="F13" s="56" t="str">
        <f t="shared" si="0"/>
        <v>060302601012024</v>
      </c>
      <c r="G13" s="54" t="s">
        <v>746</v>
      </c>
      <c r="H13" s="54" t="s">
        <v>767</v>
      </c>
      <c r="I13" s="57"/>
    </row>
    <row r="14" spans="1:9" ht="38.25" x14ac:dyDescent="0.2">
      <c r="A14" s="53" t="s">
        <v>207</v>
      </c>
      <c r="B14" s="54" t="s">
        <v>208</v>
      </c>
      <c r="C14" s="54" t="s">
        <v>768</v>
      </c>
      <c r="D14" s="54" t="s">
        <v>737</v>
      </c>
      <c r="E14" s="55" t="s">
        <v>392</v>
      </c>
      <c r="F14" s="56" t="str">
        <f t="shared" si="0"/>
        <v>060302701012024</v>
      </c>
      <c r="G14" s="54" t="s">
        <v>769</v>
      </c>
      <c r="H14" s="54" t="s">
        <v>770</v>
      </c>
      <c r="I14" s="57"/>
    </row>
    <row r="15" spans="1:9" ht="25.5" x14ac:dyDescent="0.2">
      <c r="A15" s="53" t="s">
        <v>288</v>
      </c>
      <c r="B15" s="54" t="s">
        <v>289</v>
      </c>
      <c r="C15" s="54" t="s">
        <v>771</v>
      </c>
      <c r="D15" s="54" t="s">
        <v>737</v>
      </c>
      <c r="E15" s="55" t="s">
        <v>443</v>
      </c>
      <c r="F15" s="56" t="str">
        <f t="shared" si="0"/>
        <v>060401101012025</v>
      </c>
      <c r="G15" s="54" t="s">
        <v>772</v>
      </c>
      <c r="H15" s="54" t="s">
        <v>773</v>
      </c>
      <c r="I15" s="57"/>
    </row>
    <row r="16" spans="1:9" ht="38.25" x14ac:dyDescent="0.2">
      <c r="A16" s="53" t="s">
        <v>282</v>
      </c>
      <c r="B16" s="54" t="s">
        <v>774</v>
      </c>
      <c r="C16" s="54" t="s">
        <v>775</v>
      </c>
      <c r="D16" s="54" t="s">
        <v>737</v>
      </c>
      <c r="E16" s="55" t="s">
        <v>392</v>
      </c>
      <c r="F16" s="56" t="str">
        <f t="shared" si="0"/>
        <v>060401601012024</v>
      </c>
      <c r="G16" s="54" t="s">
        <v>776</v>
      </c>
      <c r="H16" s="54" t="s">
        <v>777</v>
      </c>
      <c r="I16" s="57"/>
    </row>
    <row r="17" spans="1:9" x14ac:dyDescent="0.2">
      <c r="A17" s="53" t="s">
        <v>1</v>
      </c>
      <c r="B17" s="54" t="s">
        <v>778</v>
      </c>
      <c r="C17" s="54" t="s">
        <v>779</v>
      </c>
      <c r="D17" s="54" t="s">
        <v>737</v>
      </c>
      <c r="E17" s="55" t="s">
        <v>443</v>
      </c>
      <c r="F17" s="56" t="str">
        <f t="shared" si="0"/>
        <v>060401701012025</v>
      </c>
      <c r="G17" s="54" t="s">
        <v>780</v>
      </c>
      <c r="H17" s="54" t="s">
        <v>781</v>
      </c>
      <c r="I17" s="57"/>
    </row>
    <row r="18" spans="1:9" ht="38.25" x14ac:dyDescent="0.2">
      <c r="A18" s="53" t="s">
        <v>293</v>
      </c>
      <c r="B18" s="54" t="s">
        <v>294</v>
      </c>
      <c r="C18" s="54" t="s">
        <v>782</v>
      </c>
      <c r="D18" s="54" t="s">
        <v>737</v>
      </c>
      <c r="E18" s="55" t="s">
        <v>443</v>
      </c>
      <c r="F18" s="56" t="str">
        <f t="shared" si="0"/>
        <v>060401801012025</v>
      </c>
      <c r="G18" s="54" t="s">
        <v>755</v>
      </c>
      <c r="H18" s="54" t="s">
        <v>783</v>
      </c>
      <c r="I18" s="57"/>
    </row>
    <row r="19" spans="1:9" ht="51" x14ac:dyDescent="0.2">
      <c r="A19" s="53" t="s">
        <v>116</v>
      </c>
      <c r="B19" s="54" t="s">
        <v>117</v>
      </c>
      <c r="C19" s="54" t="s">
        <v>784</v>
      </c>
      <c r="D19" s="54" t="s">
        <v>737</v>
      </c>
      <c r="E19" s="55" t="s">
        <v>392</v>
      </c>
      <c r="F19" s="56" t="str">
        <f t="shared" si="0"/>
        <v>060403001012024</v>
      </c>
      <c r="G19" s="54" t="s">
        <v>785</v>
      </c>
      <c r="H19" s="54" t="s">
        <v>786</v>
      </c>
      <c r="I19" s="57"/>
    </row>
    <row r="20" spans="1:9" ht="25.5" x14ac:dyDescent="0.2">
      <c r="A20" s="53" t="s">
        <v>787</v>
      </c>
      <c r="B20" s="54" t="s">
        <v>788</v>
      </c>
      <c r="C20" s="54" t="s">
        <v>789</v>
      </c>
      <c r="D20" s="54" t="s">
        <v>737</v>
      </c>
      <c r="E20" s="55" t="s">
        <v>392</v>
      </c>
      <c r="F20" s="56" t="str">
        <f t="shared" si="0"/>
        <v>060510101012024</v>
      </c>
      <c r="G20" s="54" t="s">
        <v>746</v>
      </c>
      <c r="H20" s="54" t="s">
        <v>790</v>
      </c>
      <c r="I20" s="57"/>
    </row>
    <row r="21" spans="1:9" ht="25.5" x14ac:dyDescent="0.2">
      <c r="A21" s="53" t="s">
        <v>272</v>
      </c>
      <c r="B21" s="54" t="s">
        <v>273</v>
      </c>
      <c r="C21" s="54" t="s">
        <v>791</v>
      </c>
      <c r="D21" s="54" t="s">
        <v>737</v>
      </c>
      <c r="E21" s="55" t="s">
        <v>392</v>
      </c>
      <c r="F21" s="56" t="str">
        <f t="shared" si="0"/>
        <v>060600201012024</v>
      </c>
      <c r="G21" s="54" t="s">
        <v>746</v>
      </c>
      <c r="H21" s="54" t="s">
        <v>792</v>
      </c>
      <c r="I21" s="57"/>
    </row>
    <row r="22" spans="1:9" ht="25.5" x14ac:dyDescent="0.2">
      <c r="A22" s="53" t="s">
        <v>269</v>
      </c>
      <c r="B22" s="54" t="s">
        <v>270</v>
      </c>
      <c r="C22" s="54" t="s">
        <v>793</v>
      </c>
      <c r="D22" s="54" t="s">
        <v>737</v>
      </c>
      <c r="E22" s="55" t="s">
        <v>392</v>
      </c>
      <c r="F22" s="56" t="str">
        <f t="shared" si="0"/>
        <v>060600401012024</v>
      </c>
      <c r="G22" s="54" t="s">
        <v>794</v>
      </c>
      <c r="H22" s="54" t="s">
        <v>795</v>
      </c>
      <c r="I22" s="57"/>
    </row>
    <row r="23" spans="1:9" ht="25.5" x14ac:dyDescent="0.2">
      <c r="A23" s="53" t="s">
        <v>25</v>
      </c>
      <c r="B23" s="54" t="s">
        <v>796</v>
      </c>
      <c r="C23" s="54" t="s">
        <v>797</v>
      </c>
      <c r="D23" s="54" t="s">
        <v>737</v>
      </c>
      <c r="E23" s="55" t="s">
        <v>443</v>
      </c>
      <c r="F23" s="56" t="str">
        <f t="shared" si="0"/>
        <v>060606501012025</v>
      </c>
      <c r="G23" s="54" t="s">
        <v>798</v>
      </c>
      <c r="H23" s="54" t="s">
        <v>799</v>
      </c>
      <c r="I23" s="57"/>
    </row>
    <row r="24" spans="1:9" ht="38.25" x14ac:dyDescent="0.2">
      <c r="A24" s="53" t="s">
        <v>27</v>
      </c>
      <c r="B24" s="54" t="s">
        <v>800</v>
      </c>
      <c r="C24" s="54" t="s">
        <v>801</v>
      </c>
      <c r="D24" s="54" t="s">
        <v>737</v>
      </c>
      <c r="E24" s="55" t="s">
        <v>443</v>
      </c>
      <c r="F24" s="56" t="str">
        <f t="shared" si="0"/>
        <v>060606601012025</v>
      </c>
      <c r="G24" s="54" t="s">
        <v>798</v>
      </c>
      <c r="H24" s="54" t="s">
        <v>799</v>
      </c>
      <c r="I24" s="57"/>
    </row>
    <row r="25" spans="1:9" ht="25.5" x14ac:dyDescent="0.2">
      <c r="A25" s="53" t="s">
        <v>290</v>
      </c>
      <c r="B25" s="54" t="s">
        <v>802</v>
      </c>
      <c r="C25" s="54" t="s">
        <v>803</v>
      </c>
      <c r="D25" s="54" t="s">
        <v>737</v>
      </c>
      <c r="E25" s="55" t="s">
        <v>392</v>
      </c>
      <c r="F25" s="56" t="str">
        <f t="shared" si="0"/>
        <v>060706501012024</v>
      </c>
      <c r="G25" s="54" t="s">
        <v>746</v>
      </c>
      <c r="H25" s="54" t="s">
        <v>804</v>
      </c>
      <c r="I25" s="57"/>
    </row>
    <row r="26" spans="1:9" ht="25.5" x14ac:dyDescent="0.2">
      <c r="A26" s="53" t="s">
        <v>186</v>
      </c>
      <c r="B26" s="54" t="s">
        <v>187</v>
      </c>
      <c r="C26" s="54" t="s">
        <v>805</v>
      </c>
      <c r="D26" s="54" t="s">
        <v>737</v>
      </c>
      <c r="E26" s="55" t="s">
        <v>392</v>
      </c>
      <c r="F26" s="56" t="str">
        <f t="shared" si="0"/>
        <v>060708001012024</v>
      </c>
      <c r="G26" s="54" t="s">
        <v>746</v>
      </c>
      <c r="H26" s="54" t="s">
        <v>806</v>
      </c>
      <c r="I26" s="57"/>
    </row>
    <row r="27" spans="1:9" x14ac:dyDescent="0.2">
      <c r="A27" s="53" t="s">
        <v>201</v>
      </c>
      <c r="B27" s="54" t="s">
        <v>202</v>
      </c>
      <c r="C27" s="54" t="s">
        <v>807</v>
      </c>
      <c r="D27" s="54" t="s">
        <v>737</v>
      </c>
      <c r="E27" s="55" t="s">
        <v>443</v>
      </c>
      <c r="F27" s="56" t="str">
        <f t="shared" si="0"/>
        <v>060801101012025</v>
      </c>
      <c r="G27" s="54" t="s">
        <v>798</v>
      </c>
      <c r="H27" s="54" t="s">
        <v>808</v>
      </c>
      <c r="I27" s="57"/>
    </row>
    <row r="28" spans="1:9" ht="25.5" x14ac:dyDescent="0.2">
      <c r="A28" s="53" t="s">
        <v>209</v>
      </c>
      <c r="B28" s="54" t="s">
        <v>809</v>
      </c>
      <c r="C28" s="54" t="s">
        <v>810</v>
      </c>
      <c r="D28" s="54" t="s">
        <v>737</v>
      </c>
      <c r="E28" s="55" t="s">
        <v>392</v>
      </c>
      <c r="F28" s="56" t="str">
        <f t="shared" si="0"/>
        <v>060802601012024</v>
      </c>
      <c r="G28" s="54" t="s">
        <v>811</v>
      </c>
      <c r="H28" s="54" t="s">
        <v>812</v>
      </c>
      <c r="I28" s="57"/>
    </row>
    <row r="29" spans="1:9" ht="25.5" x14ac:dyDescent="0.2">
      <c r="A29" s="53" t="s">
        <v>196</v>
      </c>
      <c r="B29" s="54" t="s">
        <v>197</v>
      </c>
      <c r="C29" s="54" t="s">
        <v>813</v>
      </c>
      <c r="D29" s="54" t="s">
        <v>737</v>
      </c>
      <c r="E29" s="55" t="s">
        <v>443</v>
      </c>
      <c r="F29" s="56" t="str">
        <f t="shared" si="0"/>
        <v>060802801012025</v>
      </c>
      <c r="G29" s="54" t="s">
        <v>772</v>
      </c>
      <c r="H29" s="54" t="s">
        <v>814</v>
      </c>
      <c r="I29" s="57"/>
    </row>
    <row r="30" spans="1:9" ht="25.5" x14ac:dyDescent="0.2">
      <c r="A30" s="53" t="s">
        <v>198</v>
      </c>
      <c r="B30" s="54" t="s">
        <v>199</v>
      </c>
      <c r="C30" s="54" t="s">
        <v>815</v>
      </c>
      <c r="D30" s="54" t="s">
        <v>737</v>
      </c>
      <c r="E30" s="55" t="s">
        <v>443</v>
      </c>
      <c r="F30" s="56" t="str">
        <f t="shared" si="0"/>
        <v>060803401012025</v>
      </c>
      <c r="G30" s="54" t="s">
        <v>772</v>
      </c>
      <c r="H30" s="54" t="s">
        <v>814</v>
      </c>
      <c r="I30" s="57"/>
    </row>
    <row r="31" spans="1:9" ht="51" x14ac:dyDescent="0.2">
      <c r="A31" s="53" t="s">
        <v>216</v>
      </c>
      <c r="B31" s="54" t="s">
        <v>217</v>
      </c>
      <c r="C31" s="54" t="s">
        <v>816</v>
      </c>
      <c r="D31" s="54" t="s">
        <v>737</v>
      </c>
      <c r="E31" s="55" t="s">
        <v>392</v>
      </c>
      <c r="F31" s="56" t="str">
        <f t="shared" si="0"/>
        <v>060803501012024</v>
      </c>
      <c r="G31" s="54" t="s">
        <v>746</v>
      </c>
      <c r="H31" s="54" t="s">
        <v>817</v>
      </c>
      <c r="I31" s="57"/>
    </row>
    <row r="32" spans="1:9" ht="25.5" x14ac:dyDescent="0.2">
      <c r="A32" s="53" t="s">
        <v>29</v>
      </c>
      <c r="B32" s="54" t="s">
        <v>31</v>
      </c>
      <c r="C32" s="54" t="s">
        <v>818</v>
      </c>
      <c r="D32" s="54" t="s">
        <v>737</v>
      </c>
      <c r="E32" s="55" t="s">
        <v>392</v>
      </c>
      <c r="F32" s="56" t="str">
        <f t="shared" si="0"/>
        <v>060803801012024</v>
      </c>
      <c r="G32" s="54" t="s">
        <v>746</v>
      </c>
      <c r="H32" s="54" t="s">
        <v>819</v>
      </c>
      <c r="I32" s="57"/>
    </row>
    <row r="33" spans="1:9" ht="38.25" x14ac:dyDescent="0.2">
      <c r="A33" s="53" t="s">
        <v>320</v>
      </c>
      <c r="B33" s="54" t="s">
        <v>321</v>
      </c>
      <c r="C33" s="54" t="s">
        <v>820</v>
      </c>
      <c r="D33" s="54" t="s">
        <v>737</v>
      </c>
      <c r="E33" s="55" t="s">
        <v>392</v>
      </c>
      <c r="F33" s="56" t="str">
        <f t="shared" si="0"/>
        <v>060900601012024</v>
      </c>
      <c r="G33" s="54" t="s">
        <v>746</v>
      </c>
      <c r="H33" s="54" t="s">
        <v>821</v>
      </c>
      <c r="I33" s="57"/>
    </row>
    <row r="34" spans="1:9" ht="38.25" x14ac:dyDescent="0.2">
      <c r="A34" s="53" t="s">
        <v>332</v>
      </c>
      <c r="B34" s="54" t="s">
        <v>333</v>
      </c>
      <c r="C34" s="54" t="s">
        <v>822</v>
      </c>
      <c r="D34" s="54" t="s">
        <v>737</v>
      </c>
      <c r="E34" s="55" t="s">
        <v>443</v>
      </c>
      <c r="F34" s="56" t="str">
        <f t="shared" si="0"/>
        <v>060901701012025</v>
      </c>
      <c r="G34" s="54" t="s">
        <v>823</v>
      </c>
      <c r="H34" s="54" t="s">
        <v>824</v>
      </c>
      <c r="I34" s="57"/>
    </row>
    <row r="35" spans="1:9" ht="25.5" x14ac:dyDescent="0.2">
      <c r="A35" s="53" t="s">
        <v>351</v>
      </c>
      <c r="B35" s="54" t="s">
        <v>352</v>
      </c>
      <c r="C35" s="54" t="s">
        <v>825</v>
      </c>
      <c r="D35" s="54" t="s">
        <v>737</v>
      </c>
      <c r="E35" s="55" t="s">
        <v>392</v>
      </c>
      <c r="F35" s="56" t="str">
        <f t="shared" si="0"/>
        <v>060903001012024</v>
      </c>
      <c r="G35" s="54" t="s">
        <v>746</v>
      </c>
      <c r="H35" s="54" t="s">
        <v>826</v>
      </c>
      <c r="I35" s="57"/>
    </row>
    <row r="36" spans="1:9" ht="25.5" x14ac:dyDescent="0.2">
      <c r="A36" s="53" t="s">
        <v>318</v>
      </c>
      <c r="B36" s="54" t="s">
        <v>319</v>
      </c>
      <c r="C36" s="54" t="s">
        <v>827</v>
      </c>
      <c r="D36" s="54" t="s">
        <v>737</v>
      </c>
      <c r="E36" s="55" t="s">
        <v>392</v>
      </c>
      <c r="F36" s="56" t="str">
        <f t="shared" si="0"/>
        <v>060904001012024</v>
      </c>
      <c r="G36" s="54" t="s">
        <v>811</v>
      </c>
      <c r="H36" s="54" t="s">
        <v>828</v>
      </c>
      <c r="I36" s="57"/>
    </row>
    <row r="37" spans="1:9" ht="25.5" x14ac:dyDescent="0.2">
      <c r="A37" s="53" t="s">
        <v>312</v>
      </c>
      <c r="B37" s="54" t="s">
        <v>313</v>
      </c>
      <c r="C37" s="54" t="s">
        <v>829</v>
      </c>
      <c r="D37" s="54" t="s">
        <v>737</v>
      </c>
      <c r="E37" s="55" t="s">
        <v>392</v>
      </c>
      <c r="F37" s="56" t="str">
        <f t="shared" si="0"/>
        <v>060904501012024</v>
      </c>
      <c r="G37" s="54" t="s">
        <v>811</v>
      </c>
      <c r="H37" s="54" t="s">
        <v>830</v>
      </c>
      <c r="I37" s="57"/>
    </row>
    <row r="38" spans="1:9" ht="38.25" x14ac:dyDescent="0.2">
      <c r="A38" s="53" t="s">
        <v>34</v>
      </c>
      <c r="B38" s="54" t="s">
        <v>35</v>
      </c>
      <c r="C38" s="54" t="s">
        <v>831</v>
      </c>
      <c r="D38" s="54" t="s">
        <v>737</v>
      </c>
      <c r="E38" s="55" t="s">
        <v>392</v>
      </c>
      <c r="F38" s="56" t="str">
        <f t="shared" si="0"/>
        <v>060920001012024</v>
      </c>
      <c r="G38" s="54" t="s">
        <v>746</v>
      </c>
      <c r="H38" s="54" t="s">
        <v>832</v>
      </c>
      <c r="I38" s="57"/>
    </row>
    <row r="39" spans="1:9" ht="25.5" x14ac:dyDescent="0.2">
      <c r="A39" s="53" t="s">
        <v>37</v>
      </c>
      <c r="B39" s="54" t="s">
        <v>38</v>
      </c>
      <c r="C39" s="54" t="s">
        <v>833</v>
      </c>
      <c r="D39" s="54" t="s">
        <v>737</v>
      </c>
      <c r="E39" s="55" t="s">
        <v>392</v>
      </c>
      <c r="F39" s="56" t="str">
        <f t="shared" si="0"/>
        <v>060920401012024</v>
      </c>
      <c r="G39" s="54" t="s">
        <v>746</v>
      </c>
      <c r="H39" s="54" t="s">
        <v>834</v>
      </c>
      <c r="I39" s="57"/>
    </row>
    <row r="40" spans="1:9" ht="38.25" x14ac:dyDescent="0.2">
      <c r="A40" s="53" t="s">
        <v>40</v>
      </c>
      <c r="B40" s="54" t="s">
        <v>41</v>
      </c>
      <c r="C40" s="54" t="s">
        <v>835</v>
      </c>
      <c r="D40" s="54" t="s">
        <v>737</v>
      </c>
      <c r="E40" s="55" t="s">
        <v>392</v>
      </c>
      <c r="F40" s="56" t="str">
        <f t="shared" si="0"/>
        <v>060920701012024</v>
      </c>
      <c r="G40" s="54" t="s">
        <v>746</v>
      </c>
      <c r="H40" s="54" t="s">
        <v>836</v>
      </c>
      <c r="I40" s="57"/>
    </row>
    <row r="41" spans="1:9" ht="25.5" x14ac:dyDescent="0.2">
      <c r="A41" s="53" t="s">
        <v>43</v>
      </c>
      <c r="B41" s="54" t="s">
        <v>44</v>
      </c>
      <c r="C41" s="54" t="s">
        <v>837</v>
      </c>
      <c r="D41" s="54" t="s">
        <v>737</v>
      </c>
      <c r="E41" s="55" t="s">
        <v>392</v>
      </c>
      <c r="F41" s="56" t="str">
        <f t="shared" si="0"/>
        <v>060921001012024</v>
      </c>
      <c r="G41" s="54" t="s">
        <v>838</v>
      </c>
      <c r="H41" s="54" t="s">
        <v>839</v>
      </c>
      <c r="I41" s="57"/>
    </row>
    <row r="42" spans="1:9" x14ac:dyDescent="0.2">
      <c r="A42" s="53" t="s">
        <v>46</v>
      </c>
      <c r="B42" s="54" t="s">
        <v>47</v>
      </c>
      <c r="C42" s="54" t="s">
        <v>840</v>
      </c>
      <c r="D42" s="54" t="s">
        <v>737</v>
      </c>
      <c r="E42" s="55" t="s">
        <v>392</v>
      </c>
      <c r="F42" s="56" t="str">
        <f t="shared" si="0"/>
        <v>060921401012024</v>
      </c>
      <c r="G42" s="54" t="s">
        <v>746</v>
      </c>
      <c r="H42" s="54" t="s">
        <v>841</v>
      </c>
      <c r="I42" s="57"/>
    </row>
    <row r="43" spans="1:9" ht="25.5" x14ac:dyDescent="0.2">
      <c r="A43" s="53" t="s">
        <v>54</v>
      </c>
      <c r="B43" s="54" t="s">
        <v>55</v>
      </c>
      <c r="C43" s="54" t="s">
        <v>842</v>
      </c>
      <c r="D43" s="54" t="s">
        <v>737</v>
      </c>
      <c r="E43" s="55" t="s">
        <v>392</v>
      </c>
      <c r="F43" s="56" t="str">
        <f t="shared" si="0"/>
        <v>060923101012024</v>
      </c>
      <c r="G43" s="54" t="s">
        <v>838</v>
      </c>
      <c r="H43" s="54" t="s">
        <v>843</v>
      </c>
      <c r="I43" s="57"/>
    </row>
    <row r="44" spans="1:9" ht="25.5" x14ac:dyDescent="0.2">
      <c r="A44" s="53" t="s">
        <v>60</v>
      </c>
      <c r="B44" s="54" t="s">
        <v>61</v>
      </c>
      <c r="C44" s="54" t="s">
        <v>844</v>
      </c>
      <c r="D44" s="54" t="s">
        <v>737</v>
      </c>
      <c r="E44" s="55" t="s">
        <v>392</v>
      </c>
      <c r="F44" s="56" t="str">
        <f t="shared" si="0"/>
        <v>060923501012024</v>
      </c>
      <c r="G44" s="54" t="s">
        <v>838</v>
      </c>
      <c r="H44" s="54" t="s">
        <v>843</v>
      </c>
      <c r="I44" s="57"/>
    </row>
    <row r="45" spans="1:9" ht="38.25" x14ac:dyDescent="0.2">
      <c r="A45" s="53" t="s">
        <v>57</v>
      </c>
      <c r="B45" s="54" t="s">
        <v>58</v>
      </c>
      <c r="C45" s="54" t="s">
        <v>845</v>
      </c>
      <c r="D45" s="54" t="s">
        <v>737</v>
      </c>
      <c r="E45" s="55" t="s">
        <v>392</v>
      </c>
      <c r="F45" s="56" t="str">
        <f t="shared" si="0"/>
        <v>060924501012024</v>
      </c>
      <c r="G45" s="54" t="s">
        <v>746</v>
      </c>
      <c r="H45" s="54" t="s">
        <v>846</v>
      </c>
      <c r="I45" s="57"/>
    </row>
    <row r="46" spans="1:9" ht="25.5" x14ac:dyDescent="0.2">
      <c r="A46" s="53" t="s">
        <v>277</v>
      </c>
      <c r="B46" s="54" t="s">
        <v>278</v>
      </c>
      <c r="C46" s="54" t="s">
        <v>847</v>
      </c>
      <c r="D46" s="54" t="s">
        <v>737</v>
      </c>
      <c r="E46" s="55" t="s">
        <v>443</v>
      </c>
      <c r="F46" s="56" t="str">
        <f t="shared" si="0"/>
        <v>060930201012025</v>
      </c>
      <c r="G46" s="54" t="s">
        <v>848</v>
      </c>
      <c r="H46" s="54" t="s">
        <v>849</v>
      </c>
      <c r="I46" s="57"/>
    </row>
    <row r="47" spans="1:9" ht="25.5" x14ac:dyDescent="0.2">
      <c r="A47" s="53" t="s">
        <v>299</v>
      </c>
      <c r="B47" s="54" t="s">
        <v>300</v>
      </c>
      <c r="C47" s="54" t="s">
        <v>850</v>
      </c>
      <c r="D47" s="54" t="s">
        <v>737</v>
      </c>
      <c r="E47" s="55" t="s">
        <v>443</v>
      </c>
      <c r="F47" s="56" t="str">
        <f t="shared" si="0"/>
        <v>060930401012025</v>
      </c>
      <c r="G47" s="54" t="s">
        <v>851</v>
      </c>
      <c r="H47" s="54" t="s">
        <v>852</v>
      </c>
      <c r="I47" s="57"/>
    </row>
    <row r="48" spans="1:9" ht="63.75" x14ac:dyDescent="0.2">
      <c r="A48" s="53" t="s">
        <v>110</v>
      </c>
      <c r="B48" s="54" t="s">
        <v>111</v>
      </c>
      <c r="C48" s="54" t="s">
        <v>853</v>
      </c>
      <c r="D48" s="54" t="s">
        <v>737</v>
      </c>
      <c r="E48" s="55" t="s">
        <v>392</v>
      </c>
      <c r="F48" s="56" t="str">
        <f t="shared" si="0"/>
        <v>060940001012024</v>
      </c>
      <c r="G48" s="54" t="s">
        <v>746</v>
      </c>
      <c r="H48" s="54" t="s">
        <v>854</v>
      </c>
      <c r="I48" s="57"/>
    </row>
    <row r="49" spans="1:9" ht="25.5" x14ac:dyDescent="0.2">
      <c r="A49" s="53" t="s">
        <v>263</v>
      </c>
      <c r="B49" s="54" t="s">
        <v>264</v>
      </c>
      <c r="C49" s="54" t="s">
        <v>855</v>
      </c>
      <c r="D49" s="54" t="s">
        <v>737</v>
      </c>
      <c r="E49" s="55" t="s">
        <v>392</v>
      </c>
      <c r="F49" s="56" t="str">
        <f t="shared" si="0"/>
        <v>060956501012024</v>
      </c>
      <c r="G49" s="54" t="s">
        <v>776</v>
      </c>
      <c r="H49" s="54" t="s">
        <v>856</v>
      </c>
      <c r="I49" s="57"/>
    </row>
    <row r="50" spans="1:9" ht="38.25" x14ac:dyDescent="0.2">
      <c r="A50" s="53" t="s">
        <v>302</v>
      </c>
      <c r="B50" s="54" t="s">
        <v>303</v>
      </c>
      <c r="C50" s="54" t="s">
        <v>857</v>
      </c>
      <c r="D50" s="54" t="s">
        <v>737</v>
      </c>
      <c r="E50" s="55" t="s">
        <v>392</v>
      </c>
      <c r="F50" s="56" t="str">
        <f t="shared" si="0"/>
        <v>060950601012024</v>
      </c>
      <c r="G50" s="54" t="s">
        <v>838</v>
      </c>
      <c r="H50" s="54" t="s">
        <v>858</v>
      </c>
      <c r="I50" s="57"/>
    </row>
    <row r="51" spans="1:9" ht="25.5" x14ac:dyDescent="0.2">
      <c r="A51" s="53" t="s">
        <v>266</v>
      </c>
      <c r="B51" s="54" t="s">
        <v>267</v>
      </c>
      <c r="C51" s="54" t="s">
        <v>859</v>
      </c>
      <c r="D51" s="54" t="s">
        <v>737</v>
      </c>
      <c r="E51" s="55" t="s">
        <v>443</v>
      </c>
      <c r="F51" s="56" t="str">
        <f t="shared" si="0"/>
        <v>060950801012025</v>
      </c>
      <c r="G51" s="54" t="s">
        <v>860</v>
      </c>
      <c r="H51" s="54" t="s">
        <v>861</v>
      </c>
      <c r="I51" s="57"/>
    </row>
    <row r="52" spans="1:9" ht="25.5" x14ac:dyDescent="0.2">
      <c r="A52" s="53" t="s">
        <v>128</v>
      </c>
      <c r="B52" s="54" t="s">
        <v>129</v>
      </c>
      <c r="C52" s="54" t="s">
        <v>862</v>
      </c>
      <c r="D52" s="54" t="s">
        <v>737</v>
      </c>
      <c r="E52" s="55" t="s">
        <v>392</v>
      </c>
      <c r="F52" s="56" t="str">
        <f t="shared" si="0"/>
        <v>060970601012024</v>
      </c>
      <c r="G52" s="54" t="s">
        <v>746</v>
      </c>
      <c r="H52" s="54" t="s">
        <v>863</v>
      </c>
      <c r="I52" s="57"/>
    </row>
    <row r="53" spans="1:9" ht="51" x14ac:dyDescent="0.2">
      <c r="A53" s="53" t="s">
        <v>183</v>
      </c>
      <c r="B53" s="54" t="s">
        <v>184</v>
      </c>
      <c r="C53" s="54" t="s">
        <v>864</v>
      </c>
      <c r="D53" s="54" t="s">
        <v>737</v>
      </c>
      <c r="E53" s="55" t="s">
        <v>392</v>
      </c>
      <c r="F53" s="56" t="str">
        <f t="shared" si="0"/>
        <v>061000901012024</v>
      </c>
      <c r="G53" s="54" t="s">
        <v>746</v>
      </c>
      <c r="H53" s="54" t="s">
        <v>753</v>
      </c>
      <c r="I53" s="57"/>
    </row>
    <row r="54" spans="1:9" ht="51" x14ac:dyDescent="0.2">
      <c r="A54" s="53" t="s">
        <v>172</v>
      </c>
      <c r="B54" s="54" t="s">
        <v>173</v>
      </c>
      <c r="C54" s="54" t="s">
        <v>865</v>
      </c>
      <c r="D54" s="54" t="s">
        <v>737</v>
      </c>
      <c r="E54" s="55" t="s">
        <v>392</v>
      </c>
      <c r="F54" s="56" t="str">
        <f t="shared" si="0"/>
        <v>061003501012024</v>
      </c>
      <c r="G54" s="54" t="s">
        <v>746</v>
      </c>
      <c r="H54" s="54" t="s">
        <v>866</v>
      </c>
      <c r="I54" s="57"/>
    </row>
    <row r="55" spans="1:9" ht="38.25" x14ac:dyDescent="0.2">
      <c r="A55" s="53" t="s">
        <v>191</v>
      </c>
      <c r="B55" s="54" t="s">
        <v>192</v>
      </c>
      <c r="C55" s="54" t="s">
        <v>867</v>
      </c>
      <c r="D55" s="54" t="s">
        <v>737</v>
      </c>
      <c r="E55" s="55" t="s">
        <v>392</v>
      </c>
      <c r="F55" s="56" t="str">
        <f t="shared" si="0"/>
        <v>061003601012024</v>
      </c>
      <c r="G55" s="54" t="s">
        <v>746</v>
      </c>
      <c r="H55" s="54" t="s">
        <v>868</v>
      </c>
      <c r="I55" s="57"/>
    </row>
    <row r="56" spans="1:9" ht="25.5" x14ac:dyDescent="0.2">
      <c r="A56" s="53" t="s">
        <v>296</v>
      </c>
      <c r="B56" s="54" t="s">
        <v>869</v>
      </c>
      <c r="C56" s="54" t="s">
        <v>870</v>
      </c>
      <c r="D56" s="54" t="s">
        <v>737</v>
      </c>
      <c r="E56" s="55" t="s">
        <v>392</v>
      </c>
      <c r="F56" s="56" t="str">
        <f t="shared" si="0"/>
        <v>061006801012024</v>
      </c>
      <c r="G56" s="54" t="s">
        <v>746</v>
      </c>
      <c r="H56" s="54" t="s">
        <v>871</v>
      </c>
      <c r="I56" s="57"/>
    </row>
    <row r="57" spans="1:9" ht="51" x14ac:dyDescent="0.2">
      <c r="A57" s="53" t="s">
        <v>181</v>
      </c>
      <c r="B57" s="54" t="s">
        <v>872</v>
      </c>
      <c r="C57" s="54" t="s">
        <v>873</v>
      </c>
      <c r="D57" s="54" t="s">
        <v>737</v>
      </c>
      <c r="E57" s="55" t="s">
        <v>392</v>
      </c>
      <c r="F57" s="56" t="str">
        <f t="shared" si="0"/>
        <v>061008601012024</v>
      </c>
      <c r="G57" s="54" t="s">
        <v>746</v>
      </c>
      <c r="H57" s="54" t="s">
        <v>874</v>
      </c>
      <c r="I57" s="57"/>
    </row>
    <row r="58" spans="1:9" ht="25.5" x14ac:dyDescent="0.2">
      <c r="A58" s="53" t="s">
        <v>189</v>
      </c>
      <c r="B58" s="54" t="s">
        <v>190</v>
      </c>
      <c r="C58" s="54" t="s">
        <v>875</v>
      </c>
      <c r="D58" s="54" t="s">
        <v>737</v>
      </c>
      <c r="E58" s="55" t="s">
        <v>392</v>
      </c>
      <c r="F58" s="56" t="str">
        <f t="shared" si="0"/>
        <v>061008701012024</v>
      </c>
      <c r="G58" s="54" t="s">
        <v>746</v>
      </c>
      <c r="H58" s="54" t="s">
        <v>804</v>
      </c>
      <c r="I58" s="57"/>
    </row>
    <row r="59" spans="1:9" ht="25.5" x14ac:dyDescent="0.2">
      <c r="A59" s="53" t="s">
        <v>323</v>
      </c>
      <c r="B59" s="54" t="s">
        <v>324</v>
      </c>
      <c r="C59" s="54" t="s">
        <v>876</v>
      </c>
      <c r="D59" s="54" t="s">
        <v>737</v>
      </c>
      <c r="E59" s="55" t="s">
        <v>443</v>
      </c>
      <c r="F59" s="56" t="str">
        <f t="shared" si="0"/>
        <v>061100101012025</v>
      </c>
      <c r="G59" s="54" t="s">
        <v>877</v>
      </c>
      <c r="H59" s="54" t="s">
        <v>878</v>
      </c>
      <c r="I59" s="57"/>
    </row>
    <row r="60" spans="1:9" ht="25.5" x14ac:dyDescent="0.2">
      <c r="A60" s="53" t="s">
        <v>335</v>
      </c>
      <c r="B60" s="54" t="s">
        <v>879</v>
      </c>
      <c r="C60" s="54" t="s">
        <v>880</v>
      </c>
      <c r="D60" s="54" t="s">
        <v>737</v>
      </c>
      <c r="E60" s="55" t="s">
        <v>443</v>
      </c>
      <c r="F60" s="56" t="str">
        <f t="shared" si="0"/>
        <v>061100201012025</v>
      </c>
      <c r="G60" s="54" t="s">
        <v>881</v>
      </c>
      <c r="H60" s="54" t="s">
        <v>882</v>
      </c>
      <c r="I60" s="57"/>
    </row>
    <row r="61" spans="1:9" ht="51" x14ac:dyDescent="0.2">
      <c r="A61" s="53" t="s">
        <v>335</v>
      </c>
      <c r="B61" s="54" t="s">
        <v>883</v>
      </c>
      <c r="C61" s="54" t="s">
        <v>880</v>
      </c>
      <c r="D61" s="54" t="s">
        <v>737</v>
      </c>
      <c r="E61" s="55" t="s">
        <v>443</v>
      </c>
      <c r="F61" s="56" t="str">
        <f t="shared" si="0"/>
        <v>061100201012025</v>
      </c>
      <c r="G61" s="54" t="s">
        <v>884</v>
      </c>
      <c r="H61" s="54" t="s">
        <v>885</v>
      </c>
      <c r="I61" s="57"/>
    </row>
    <row r="62" spans="1:9" ht="51" x14ac:dyDescent="0.2">
      <c r="A62" s="53" t="s">
        <v>335</v>
      </c>
      <c r="B62" s="54" t="s">
        <v>886</v>
      </c>
      <c r="C62" s="54" t="s">
        <v>880</v>
      </c>
      <c r="D62" s="54" t="s">
        <v>737</v>
      </c>
      <c r="E62" s="55" t="s">
        <v>443</v>
      </c>
      <c r="F62" s="56" t="str">
        <f t="shared" si="0"/>
        <v>061100201012025</v>
      </c>
      <c r="G62" s="54" t="s">
        <v>881</v>
      </c>
      <c r="H62" s="54" t="s">
        <v>887</v>
      </c>
      <c r="I62" s="57"/>
    </row>
    <row r="63" spans="1:9" ht="38.25" x14ac:dyDescent="0.2">
      <c r="A63" s="53" t="s">
        <v>359</v>
      </c>
      <c r="B63" s="54" t="s">
        <v>360</v>
      </c>
      <c r="C63" s="54" t="s">
        <v>888</v>
      </c>
      <c r="D63" s="54" t="s">
        <v>737</v>
      </c>
      <c r="E63" s="55" t="s">
        <v>392</v>
      </c>
      <c r="F63" s="56" t="str">
        <f t="shared" si="0"/>
        <v>061100301012024</v>
      </c>
      <c r="G63" s="54" t="s">
        <v>811</v>
      </c>
      <c r="H63" s="54" t="s">
        <v>889</v>
      </c>
      <c r="I63" s="57"/>
    </row>
    <row r="64" spans="1:9" ht="25.5" x14ac:dyDescent="0.2">
      <c r="A64" s="53" t="s">
        <v>356</v>
      </c>
      <c r="B64" s="54" t="s">
        <v>357</v>
      </c>
      <c r="C64" s="54" t="s">
        <v>890</v>
      </c>
      <c r="D64" s="54" t="s">
        <v>737</v>
      </c>
      <c r="E64" s="55" t="s">
        <v>443</v>
      </c>
      <c r="F64" s="56" t="str">
        <f t="shared" si="0"/>
        <v>061100501012025</v>
      </c>
      <c r="G64" s="54" t="s">
        <v>891</v>
      </c>
      <c r="H64" s="54" t="s">
        <v>892</v>
      </c>
      <c r="I64" s="57"/>
    </row>
    <row r="65" spans="1:9" ht="25.5" x14ac:dyDescent="0.2">
      <c r="A65" s="53" t="s">
        <v>348</v>
      </c>
      <c r="B65" s="54" t="s">
        <v>893</v>
      </c>
      <c r="C65" s="54" t="s">
        <v>894</v>
      </c>
      <c r="D65" s="54" t="s">
        <v>737</v>
      </c>
      <c r="E65" s="55" t="s">
        <v>392</v>
      </c>
      <c r="F65" s="56" t="str">
        <f t="shared" si="0"/>
        <v>061100601012024</v>
      </c>
      <c r="G65" s="54" t="s">
        <v>895</v>
      </c>
      <c r="H65" s="54" t="s">
        <v>896</v>
      </c>
      <c r="I65" s="57"/>
    </row>
    <row r="66" spans="1:9" ht="38.25" x14ac:dyDescent="0.2">
      <c r="A66" s="53" t="s">
        <v>340</v>
      </c>
      <c r="B66" s="54" t="s">
        <v>897</v>
      </c>
      <c r="C66" s="54" t="s">
        <v>898</v>
      </c>
      <c r="D66" s="54" t="s">
        <v>737</v>
      </c>
      <c r="E66" s="55" t="s">
        <v>392</v>
      </c>
      <c r="F66" s="56" t="str">
        <f t="shared" si="0"/>
        <v>061100901012024</v>
      </c>
      <c r="G66" s="54" t="s">
        <v>899</v>
      </c>
      <c r="H66" s="54" t="s">
        <v>900</v>
      </c>
      <c r="I66" s="57"/>
    </row>
    <row r="67" spans="1:9" ht="38.25" x14ac:dyDescent="0.2">
      <c r="A67" s="53" t="s">
        <v>343</v>
      </c>
      <c r="B67" s="54" t="s">
        <v>344</v>
      </c>
      <c r="C67" s="54" t="s">
        <v>880</v>
      </c>
      <c r="D67" s="54" t="s">
        <v>737</v>
      </c>
      <c r="E67" s="55" t="s">
        <v>443</v>
      </c>
      <c r="F67" s="56" t="str">
        <f t="shared" ref="F67:F130" si="1">CONCATENATE(A67,E67)</f>
        <v>061101001012025</v>
      </c>
      <c r="G67" s="54" t="s">
        <v>901</v>
      </c>
      <c r="H67" s="54" t="s">
        <v>902</v>
      </c>
      <c r="I67" s="57"/>
    </row>
    <row r="68" spans="1:9" ht="38.25" x14ac:dyDescent="0.2">
      <c r="A68" s="53" t="s">
        <v>326</v>
      </c>
      <c r="B68" s="54" t="s">
        <v>903</v>
      </c>
      <c r="C68" s="54" t="s">
        <v>904</v>
      </c>
      <c r="D68" s="54" t="s">
        <v>737</v>
      </c>
      <c r="E68" s="55" t="s">
        <v>392</v>
      </c>
      <c r="F68" s="56" t="str">
        <f t="shared" si="1"/>
        <v>061101401012024</v>
      </c>
      <c r="G68" s="54" t="s">
        <v>811</v>
      </c>
      <c r="H68" s="54" t="s">
        <v>905</v>
      </c>
      <c r="I68" s="57"/>
    </row>
    <row r="69" spans="1:9" ht="25.5" x14ac:dyDescent="0.2">
      <c r="A69" s="53" t="s">
        <v>354</v>
      </c>
      <c r="B69" s="54" t="s">
        <v>355</v>
      </c>
      <c r="C69" s="54" t="s">
        <v>876</v>
      </c>
      <c r="D69" s="54" t="s">
        <v>737</v>
      </c>
      <c r="E69" s="55" t="s">
        <v>443</v>
      </c>
      <c r="F69" s="56" t="str">
        <f t="shared" si="1"/>
        <v>061101501012025</v>
      </c>
      <c r="G69" s="54" t="s">
        <v>877</v>
      </c>
      <c r="H69" s="54" t="s">
        <v>878</v>
      </c>
      <c r="I69" s="57"/>
    </row>
    <row r="70" spans="1:9" ht="38.25" x14ac:dyDescent="0.2">
      <c r="A70" s="53" t="s">
        <v>259</v>
      </c>
      <c r="B70" s="54" t="s">
        <v>260</v>
      </c>
      <c r="C70" s="54" t="s">
        <v>906</v>
      </c>
      <c r="D70" s="54" t="s">
        <v>737</v>
      </c>
      <c r="E70" s="55" t="s">
        <v>392</v>
      </c>
      <c r="F70" s="56" t="str">
        <f t="shared" si="1"/>
        <v>061102001012024</v>
      </c>
      <c r="G70" s="54" t="s">
        <v>838</v>
      </c>
      <c r="H70" s="54" t="s">
        <v>907</v>
      </c>
      <c r="I70" s="57"/>
    </row>
    <row r="71" spans="1:9" ht="38.25" x14ac:dyDescent="0.2">
      <c r="A71" s="53" t="s">
        <v>338</v>
      </c>
      <c r="B71" s="54" t="s">
        <v>908</v>
      </c>
      <c r="C71" s="54" t="s">
        <v>909</v>
      </c>
      <c r="D71" s="54" t="s">
        <v>737</v>
      </c>
      <c r="E71" s="55" t="s">
        <v>392</v>
      </c>
      <c r="F71" s="56" t="str">
        <f t="shared" si="1"/>
        <v>061102101012024</v>
      </c>
      <c r="G71" s="54" t="s">
        <v>899</v>
      </c>
      <c r="H71" s="54" t="s">
        <v>910</v>
      </c>
      <c r="I71" s="57"/>
    </row>
    <row r="72" spans="1:9" ht="38.25" x14ac:dyDescent="0.2">
      <c r="A72" s="53" t="s">
        <v>315</v>
      </c>
      <c r="B72" s="54" t="s">
        <v>316</v>
      </c>
      <c r="C72" s="54" t="s">
        <v>911</v>
      </c>
      <c r="D72" s="54" t="s">
        <v>737</v>
      </c>
      <c r="E72" s="55" t="s">
        <v>392</v>
      </c>
      <c r="F72" s="56" t="str">
        <f t="shared" si="1"/>
        <v>061102201012024</v>
      </c>
      <c r="G72" s="54" t="s">
        <v>899</v>
      </c>
      <c r="H72" s="54" t="s">
        <v>912</v>
      </c>
      <c r="I72" s="57"/>
    </row>
    <row r="73" spans="1:9" ht="38.25" x14ac:dyDescent="0.2">
      <c r="A73" s="53" t="s">
        <v>363</v>
      </c>
      <c r="B73" s="54" t="s">
        <v>913</v>
      </c>
      <c r="C73" s="54" t="s">
        <v>914</v>
      </c>
      <c r="D73" s="54" t="s">
        <v>737</v>
      </c>
      <c r="E73" s="55" t="s">
        <v>392</v>
      </c>
      <c r="F73" s="56" t="str">
        <f t="shared" si="1"/>
        <v>061102601012024</v>
      </c>
      <c r="G73" s="54" t="s">
        <v>915</v>
      </c>
      <c r="H73" s="54" t="s">
        <v>916</v>
      </c>
      <c r="I73" s="57"/>
    </row>
    <row r="74" spans="1:9" ht="25.5" x14ac:dyDescent="0.2">
      <c r="A74" s="53" t="s">
        <v>134</v>
      </c>
      <c r="B74" s="54" t="s">
        <v>917</v>
      </c>
      <c r="C74" s="54" t="s">
        <v>918</v>
      </c>
      <c r="D74" s="54" t="s">
        <v>737</v>
      </c>
      <c r="E74" s="55" t="s">
        <v>392</v>
      </c>
      <c r="F74" s="56" t="str">
        <f t="shared" si="1"/>
        <v>061200701012024</v>
      </c>
      <c r="G74" s="54" t="s">
        <v>838</v>
      </c>
      <c r="H74" s="54" t="s">
        <v>919</v>
      </c>
      <c r="I74" s="57"/>
    </row>
    <row r="75" spans="1:9" ht="38.25" x14ac:dyDescent="0.2">
      <c r="A75" s="53" t="s">
        <v>126</v>
      </c>
      <c r="B75" s="54" t="s">
        <v>127</v>
      </c>
      <c r="C75" s="54" t="s">
        <v>920</v>
      </c>
      <c r="D75" s="54" t="s">
        <v>737</v>
      </c>
      <c r="E75" s="55" t="s">
        <v>392</v>
      </c>
      <c r="F75" s="56" t="str">
        <f t="shared" si="1"/>
        <v>061300101012024</v>
      </c>
      <c r="G75" s="54" t="s">
        <v>746</v>
      </c>
      <c r="H75" s="54" t="s">
        <v>921</v>
      </c>
      <c r="I75" s="57"/>
    </row>
    <row r="76" spans="1:9" ht="25.5" x14ac:dyDescent="0.2">
      <c r="A76" s="53" t="s">
        <v>121</v>
      </c>
      <c r="B76" s="54" t="s">
        <v>922</v>
      </c>
      <c r="C76" s="54" t="s">
        <v>923</v>
      </c>
      <c r="D76" s="54" t="s">
        <v>737</v>
      </c>
      <c r="E76" s="55" t="s">
        <v>392</v>
      </c>
      <c r="F76" s="56" t="str">
        <f t="shared" si="1"/>
        <v>061400401012024</v>
      </c>
      <c r="G76" s="54" t="s">
        <v>746</v>
      </c>
      <c r="H76" s="54" t="s">
        <v>924</v>
      </c>
      <c r="I76" s="57"/>
    </row>
    <row r="77" spans="1:9" ht="25.5" x14ac:dyDescent="0.2">
      <c r="A77" s="53" t="s">
        <v>101</v>
      </c>
      <c r="B77" s="54" t="s">
        <v>102</v>
      </c>
      <c r="C77" s="54" t="s">
        <v>925</v>
      </c>
      <c r="D77" s="54" t="s">
        <v>737</v>
      </c>
      <c r="E77" s="55" t="s">
        <v>443</v>
      </c>
      <c r="F77" s="56" t="str">
        <f t="shared" si="1"/>
        <v>061401901012025</v>
      </c>
      <c r="G77" s="54" t="s">
        <v>926</v>
      </c>
      <c r="H77" s="54" t="s">
        <v>927</v>
      </c>
      <c r="I77" s="57"/>
    </row>
    <row r="78" spans="1:9" ht="38.25" x14ac:dyDescent="0.2">
      <c r="A78" s="53" t="s">
        <v>140</v>
      </c>
      <c r="B78" s="54" t="s">
        <v>141</v>
      </c>
      <c r="C78" s="54" t="s">
        <v>928</v>
      </c>
      <c r="D78" s="54" t="s">
        <v>737</v>
      </c>
      <c r="E78" s="55" t="s">
        <v>392</v>
      </c>
      <c r="F78" s="56" t="str">
        <f t="shared" si="1"/>
        <v>061500701012024</v>
      </c>
      <c r="G78" s="54" t="s">
        <v>929</v>
      </c>
      <c r="H78" s="54" t="s">
        <v>930</v>
      </c>
      <c r="I78" s="57"/>
    </row>
    <row r="79" spans="1:9" ht="25.5" x14ac:dyDescent="0.2">
      <c r="A79" s="53" t="s">
        <v>931</v>
      </c>
      <c r="B79" s="54" t="s">
        <v>932</v>
      </c>
      <c r="C79" s="54" t="s">
        <v>933</v>
      </c>
      <c r="D79" s="54" t="s">
        <v>737</v>
      </c>
      <c r="E79" s="55" t="s">
        <v>443</v>
      </c>
      <c r="F79" s="56" t="str">
        <f t="shared" si="1"/>
        <v>061501101012025</v>
      </c>
      <c r="G79" s="54" t="s">
        <v>934</v>
      </c>
      <c r="H79" s="54" t="s">
        <v>935</v>
      </c>
      <c r="I79" s="57"/>
    </row>
    <row r="80" spans="1:9" ht="25.5" x14ac:dyDescent="0.2">
      <c r="A80" s="53" t="s">
        <v>153</v>
      </c>
      <c r="B80" s="54" t="s">
        <v>154</v>
      </c>
      <c r="C80" s="54" t="s">
        <v>936</v>
      </c>
      <c r="D80" s="54" t="s">
        <v>737</v>
      </c>
      <c r="E80" s="55" t="s">
        <v>392</v>
      </c>
      <c r="F80" s="56" t="str">
        <f t="shared" si="1"/>
        <v>061505601012024</v>
      </c>
      <c r="G80" s="54" t="s">
        <v>746</v>
      </c>
      <c r="H80" s="54" t="s">
        <v>937</v>
      </c>
      <c r="I80" s="57"/>
    </row>
    <row r="81" spans="1:9" ht="25.5" x14ac:dyDescent="0.2">
      <c r="A81" s="53" t="s">
        <v>155</v>
      </c>
      <c r="B81" s="54" t="s">
        <v>156</v>
      </c>
      <c r="C81" s="54" t="s">
        <v>938</v>
      </c>
      <c r="D81" s="54" t="s">
        <v>737</v>
      </c>
      <c r="E81" s="55" t="s">
        <v>392</v>
      </c>
      <c r="F81" s="56" t="str">
        <f t="shared" si="1"/>
        <v>061506801012024</v>
      </c>
      <c r="G81" s="54" t="s">
        <v>746</v>
      </c>
      <c r="H81" s="54" t="s">
        <v>939</v>
      </c>
      <c r="I81" s="57"/>
    </row>
    <row r="82" spans="1:9" ht="25.5" x14ac:dyDescent="0.2">
      <c r="A82" s="53" t="s">
        <v>137</v>
      </c>
      <c r="B82" s="54" t="s">
        <v>138</v>
      </c>
      <c r="C82" s="54" t="s">
        <v>940</v>
      </c>
      <c r="D82" s="54" t="s">
        <v>737</v>
      </c>
      <c r="E82" s="55" t="s">
        <v>392</v>
      </c>
      <c r="F82" s="56" t="str">
        <f t="shared" si="1"/>
        <v>061507101012024</v>
      </c>
      <c r="G82" s="54" t="s">
        <v>941</v>
      </c>
      <c r="H82" s="54" t="s">
        <v>930</v>
      </c>
      <c r="I82" s="57"/>
    </row>
    <row r="83" spans="1:9" ht="25.5" x14ac:dyDescent="0.2">
      <c r="A83" s="53" t="s">
        <v>72</v>
      </c>
      <c r="B83" s="54" t="s">
        <v>73</v>
      </c>
      <c r="C83" s="54" t="s">
        <v>942</v>
      </c>
      <c r="D83" s="54" t="s">
        <v>737</v>
      </c>
      <c r="E83" s="55" t="s">
        <v>443</v>
      </c>
      <c r="F83" s="56" t="str">
        <f t="shared" si="1"/>
        <v>061600101012025</v>
      </c>
      <c r="G83" s="54" t="s">
        <v>943</v>
      </c>
      <c r="H83" s="54" t="s">
        <v>944</v>
      </c>
      <c r="I83" s="57"/>
    </row>
    <row r="84" spans="1:9" ht="25.5" x14ac:dyDescent="0.2">
      <c r="A84" s="53" t="s">
        <v>76</v>
      </c>
      <c r="B84" s="54" t="s">
        <v>945</v>
      </c>
      <c r="C84" s="54" t="s">
        <v>946</v>
      </c>
      <c r="D84" s="54" t="s">
        <v>737</v>
      </c>
      <c r="E84" s="55" t="s">
        <v>443</v>
      </c>
      <c r="F84" s="56" t="str">
        <f t="shared" si="1"/>
        <v>061600501012025</v>
      </c>
      <c r="G84" s="54" t="s">
        <v>947</v>
      </c>
      <c r="H84" s="54" t="s">
        <v>948</v>
      </c>
      <c r="I84" s="57"/>
    </row>
    <row r="85" spans="1:9" ht="25.5" x14ac:dyDescent="0.2">
      <c r="A85" s="53" t="s">
        <v>79</v>
      </c>
      <c r="B85" s="54" t="s">
        <v>949</v>
      </c>
      <c r="C85" s="54" t="s">
        <v>950</v>
      </c>
      <c r="D85" s="54" t="s">
        <v>737</v>
      </c>
      <c r="E85" s="55" t="s">
        <v>443</v>
      </c>
      <c r="F85" s="56" t="str">
        <f t="shared" si="1"/>
        <v>061600601012025</v>
      </c>
      <c r="G85" s="54" t="s">
        <v>947</v>
      </c>
      <c r="H85" s="54" t="s">
        <v>948</v>
      </c>
      <c r="I85" s="57"/>
    </row>
    <row r="86" spans="1:9" x14ac:dyDescent="0.2">
      <c r="A86" s="53" t="s">
        <v>368</v>
      </c>
      <c r="B86" s="54" t="s">
        <v>369</v>
      </c>
      <c r="C86" s="54" t="s">
        <v>951</v>
      </c>
      <c r="D86" s="54" t="s">
        <v>737</v>
      </c>
      <c r="E86" s="55" t="s">
        <v>443</v>
      </c>
      <c r="F86" s="56" t="str">
        <f t="shared" si="1"/>
        <v>061700201012025</v>
      </c>
      <c r="G86" s="54" t="s">
        <v>952</v>
      </c>
      <c r="H86" s="54" t="s">
        <v>953</v>
      </c>
      <c r="I86" s="57"/>
    </row>
    <row r="87" spans="1:9" ht="25.5" x14ac:dyDescent="0.2">
      <c r="A87" s="53" t="s">
        <v>374</v>
      </c>
      <c r="B87" s="54" t="s">
        <v>375</v>
      </c>
      <c r="C87" s="54" t="s">
        <v>954</v>
      </c>
      <c r="D87" s="54" t="s">
        <v>737</v>
      </c>
      <c r="E87" s="55" t="s">
        <v>392</v>
      </c>
      <c r="F87" s="56" t="str">
        <f t="shared" si="1"/>
        <v>061700801012024</v>
      </c>
      <c r="G87" s="54" t="s">
        <v>746</v>
      </c>
      <c r="H87" s="54" t="s">
        <v>955</v>
      </c>
      <c r="I87" s="57"/>
    </row>
    <row r="88" spans="1:9" x14ac:dyDescent="0.2">
      <c r="A88" s="53" t="s">
        <v>376</v>
      </c>
      <c r="B88" s="54" t="s">
        <v>377</v>
      </c>
      <c r="C88" s="54" t="s">
        <v>956</v>
      </c>
      <c r="D88" s="54" t="s">
        <v>737</v>
      </c>
      <c r="E88" s="55" t="s">
        <v>443</v>
      </c>
      <c r="F88" s="56" t="str">
        <f t="shared" si="1"/>
        <v>061701001012025</v>
      </c>
      <c r="G88" s="54" t="s">
        <v>957</v>
      </c>
      <c r="H88" s="54" t="s">
        <v>958</v>
      </c>
      <c r="I88" s="57"/>
    </row>
    <row r="89" spans="1:9" ht="102" x14ac:dyDescent="0.2">
      <c r="A89" s="53" t="s">
        <v>959</v>
      </c>
      <c r="B89" s="54" t="s">
        <v>960</v>
      </c>
      <c r="C89" s="54" t="s">
        <v>961</v>
      </c>
      <c r="D89" s="54" t="s">
        <v>737</v>
      </c>
      <c r="E89" s="55" t="s">
        <v>443</v>
      </c>
      <c r="F89" s="56" t="str">
        <f t="shared" si="1"/>
        <v>060303501012025</v>
      </c>
      <c r="G89" s="54" t="s">
        <v>962</v>
      </c>
      <c r="H89" s="54" t="s">
        <v>963</v>
      </c>
      <c r="I89" s="57"/>
    </row>
    <row r="90" spans="1:9" ht="51" x14ac:dyDescent="0.2">
      <c r="A90" s="53" t="s">
        <v>221</v>
      </c>
      <c r="B90" s="54" t="s">
        <v>222</v>
      </c>
      <c r="C90" s="54" t="s">
        <v>964</v>
      </c>
      <c r="D90" s="54" t="s">
        <v>737</v>
      </c>
      <c r="E90" s="55" t="s">
        <v>392</v>
      </c>
      <c r="F90" s="56" t="str">
        <f t="shared" si="1"/>
        <v>060101601012024</v>
      </c>
      <c r="G90" s="54" t="s">
        <v>838</v>
      </c>
      <c r="H90" s="54" t="s">
        <v>965</v>
      </c>
      <c r="I90" s="57"/>
    </row>
    <row r="91" spans="1:9" ht="25.5" x14ac:dyDescent="0.2">
      <c r="A91" s="53" t="s">
        <v>167</v>
      </c>
      <c r="B91" s="54" t="s">
        <v>168</v>
      </c>
      <c r="C91" s="54" t="s">
        <v>966</v>
      </c>
      <c r="D91" s="54" t="s">
        <v>737</v>
      </c>
      <c r="E91" s="55" t="s">
        <v>392</v>
      </c>
      <c r="F91" s="56" t="str">
        <f t="shared" si="1"/>
        <v>060101801012024</v>
      </c>
      <c r="G91" s="54" t="s">
        <v>746</v>
      </c>
      <c r="H91" s="54" t="s">
        <v>967</v>
      </c>
      <c r="I91" s="57"/>
    </row>
    <row r="92" spans="1:9" ht="25.5" x14ac:dyDescent="0.2">
      <c r="A92" s="53" t="s">
        <v>329</v>
      </c>
      <c r="B92" s="54" t="s">
        <v>968</v>
      </c>
      <c r="C92" s="54" t="s">
        <v>969</v>
      </c>
      <c r="D92" s="54" t="s">
        <v>737</v>
      </c>
      <c r="E92" s="55" t="s">
        <v>392</v>
      </c>
      <c r="F92" s="56" t="str">
        <f t="shared" si="1"/>
        <v>061100401012024</v>
      </c>
      <c r="G92" s="54" t="s">
        <v>746</v>
      </c>
      <c r="H92" s="54" t="s">
        <v>970</v>
      </c>
      <c r="I92" s="57"/>
    </row>
    <row r="93" spans="1:9" ht="25.5" x14ac:dyDescent="0.2">
      <c r="A93" s="53" t="s">
        <v>131</v>
      </c>
      <c r="B93" s="54" t="s">
        <v>132</v>
      </c>
      <c r="C93" s="54" t="s">
        <v>971</v>
      </c>
      <c r="D93" s="54" t="s">
        <v>737</v>
      </c>
      <c r="E93" s="55" t="s">
        <v>392</v>
      </c>
      <c r="F93" s="56" t="str">
        <f t="shared" si="1"/>
        <v>060970301012024</v>
      </c>
      <c r="G93" s="54" t="s">
        <v>746</v>
      </c>
      <c r="H93" s="54" t="s">
        <v>972</v>
      </c>
      <c r="I93" s="57"/>
    </row>
    <row r="94" spans="1:9" ht="25.5" x14ac:dyDescent="0.2">
      <c r="A94" s="53" t="s">
        <v>378</v>
      </c>
      <c r="B94" s="54" t="s">
        <v>973</v>
      </c>
      <c r="C94" s="54" t="s">
        <v>974</v>
      </c>
      <c r="D94" s="54" t="s">
        <v>737</v>
      </c>
      <c r="E94" s="55" t="s">
        <v>443</v>
      </c>
      <c r="F94" s="56" t="str">
        <f t="shared" si="1"/>
        <v>061701701012025</v>
      </c>
      <c r="G94" s="54" t="s">
        <v>975</v>
      </c>
      <c r="H94" s="54" t="s">
        <v>976</v>
      </c>
      <c r="I94" s="57"/>
    </row>
    <row r="95" spans="1:9" ht="25.5" x14ac:dyDescent="0.2">
      <c r="A95" s="53" t="s">
        <v>285</v>
      </c>
      <c r="B95" s="54" t="s">
        <v>286</v>
      </c>
      <c r="C95" s="54" t="s">
        <v>977</v>
      </c>
      <c r="D95" s="54" t="s">
        <v>737</v>
      </c>
      <c r="E95" s="55" t="s">
        <v>443</v>
      </c>
      <c r="F95" s="56" t="str">
        <f t="shared" si="1"/>
        <v>060402301012025</v>
      </c>
      <c r="G95" s="54" t="s">
        <v>978</v>
      </c>
      <c r="H95" s="54" t="s">
        <v>979</v>
      </c>
      <c r="I95" s="57"/>
    </row>
    <row r="96" spans="1:9" ht="25.5" x14ac:dyDescent="0.2">
      <c r="A96" s="53" t="s">
        <v>291</v>
      </c>
      <c r="B96" s="54" t="s">
        <v>292</v>
      </c>
      <c r="C96" s="54" t="s">
        <v>980</v>
      </c>
      <c r="D96" s="54" t="s">
        <v>737</v>
      </c>
      <c r="E96" s="55" t="s">
        <v>443</v>
      </c>
      <c r="F96" s="56" t="str">
        <f t="shared" si="1"/>
        <v>060402401012025</v>
      </c>
      <c r="G96" s="54" t="s">
        <v>981</v>
      </c>
      <c r="H96" s="54" t="s">
        <v>982</v>
      </c>
      <c r="I96" s="57"/>
    </row>
    <row r="97" spans="1:9" ht="25.5" x14ac:dyDescent="0.2">
      <c r="A97" s="53" t="s">
        <v>280</v>
      </c>
      <c r="B97" s="54" t="s">
        <v>281</v>
      </c>
      <c r="C97" s="54" t="s">
        <v>983</v>
      </c>
      <c r="D97" s="54" t="s">
        <v>737</v>
      </c>
      <c r="E97" s="55" t="s">
        <v>392</v>
      </c>
      <c r="F97" s="56" t="str">
        <f t="shared" si="1"/>
        <v>060404101012024</v>
      </c>
      <c r="G97" s="54" t="s">
        <v>899</v>
      </c>
      <c r="H97" s="54" t="s">
        <v>984</v>
      </c>
      <c r="I97" s="57"/>
    </row>
    <row r="98" spans="1:9" ht="25.5" x14ac:dyDescent="0.2">
      <c r="A98" s="53" t="s">
        <v>241</v>
      </c>
      <c r="B98" s="54" t="s">
        <v>242</v>
      </c>
      <c r="C98" s="54" t="s">
        <v>985</v>
      </c>
      <c r="D98" s="54" t="s">
        <v>737</v>
      </c>
      <c r="E98" s="55" t="s">
        <v>443</v>
      </c>
      <c r="F98" s="56" t="str">
        <f t="shared" si="1"/>
        <v>060101101012025</v>
      </c>
      <c r="G98" s="54" t="s">
        <v>986</v>
      </c>
      <c r="H98" s="54" t="s">
        <v>987</v>
      </c>
      <c r="I98" s="57"/>
    </row>
    <row r="99" spans="1:9" x14ac:dyDescent="0.2">
      <c r="A99" s="53" t="s">
        <v>145</v>
      </c>
      <c r="B99" s="54" t="s">
        <v>146</v>
      </c>
      <c r="C99" s="54" t="s">
        <v>988</v>
      </c>
      <c r="D99" s="54" t="s">
        <v>989</v>
      </c>
      <c r="E99" s="55" t="s">
        <v>447</v>
      </c>
      <c r="F99" s="56" t="str">
        <f t="shared" si="1"/>
        <v>061404604012025</v>
      </c>
      <c r="G99" s="54" t="s">
        <v>990</v>
      </c>
      <c r="H99" s="54"/>
      <c r="I99" s="57"/>
    </row>
    <row r="100" spans="1:9" x14ac:dyDescent="0.2">
      <c r="A100" s="53" t="s">
        <v>145</v>
      </c>
      <c r="B100" s="54" t="s">
        <v>146</v>
      </c>
      <c r="C100" s="54" t="s">
        <v>988</v>
      </c>
      <c r="D100" s="54" t="s">
        <v>991</v>
      </c>
      <c r="E100" s="55" t="s">
        <v>450</v>
      </c>
      <c r="F100" s="56" t="str">
        <f t="shared" si="1"/>
        <v>061404604022025</v>
      </c>
      <c r="G100" s="54" t="s">
        <v>992</v>
      </c>
      <c r="H100" s="54"/>
      <c r="I100" s="57"/>
    </row>
    <row r="101" spans="1:9" x14ac:dyDescent="0.2">
      <c r="A101" s="53" t="s">
        <v>145</v>
      </c>
      <c r="B101" s="54" t="s">
        <v>146</v>
      </c>
      <c r="C101" s="54" t="s">
        <v>988</v>
      </c>
      <c r="D101" s="54" t="s">
        <v>993</v>
      </c>
      <c r="E101" s="55" t="s">
        <v>687</v>
      </c>
      <c r="F101" s="56" t="str">
        <f t="shared" si="1"/>
        <v>061404602012025</v>
      </c>
      <c r="G101" s="54" t="s">
        <v>992</v>
      </c>
      <c r="H101" s="54"/>
      <c r="I101" s="57"/>
    </row>
    <row r="102" spans="1:9" x14ac:dyDescent="0.2">
      <c r="A102" s="53" t="s">
        <v>145</v>
      </c>
      <c r="B102" s="54" t="s">
        <v>146</v>
      </c>
      <c r="C102" s="54" t="s">
        <v>988</v>
      </c>
      <c r="D102" s="54" t="s">
        <v>994</v>
      </c>
      <c r="E102" s="55" t="s">
        <v>453</v>
      </c>
      <c r="F102" s="56" t="str">
        <f t="shared" si="1"/>
        <v>061404604032025</v>
      </c>
      <c r="G102" s="54" t="s">
        <v>995</v>
      </c>
      <c r="H102" s="54"/>
      <c r="I102" s="57"/>
    </row>
    <row r="103" spans="1:9" x14ac:dyDescent="0.2">
      <c r="A103" s="53" t="s">
        <v>145</v>
      </c>
      <c r="B103" s="54" t="s">
        <v>146</v>
      </c>
      <c r="C103" s="54" t="s">
        <v>988</v>
      </c>
      <c r="D103" s="54" t="s">
        <v>996</v>
      </c>
      <c r="E103" s="55" t="s">
        <v>457</v>
      </c>
      <c r="F103" s="56" t="str">
        <f t="shared" si="1"/>
        <v>061404604042025</v>
      </c>
      <c r="G103" s="54" t="s">
        <v>997</v>
      </c>
      <c r="H103" s="54"/>
      <c r="I103" s="57"/>
    </row>
    <row r="104" spans="1:9" x14ac:dyDescent="0.2">
      <c r="A104" s="53" t="s">
        <v>145</v>
      </c>
      <c r="B104" s="54" t="s">
        <v>146</v>
      </c>
      <c r="C104" s="54" t="s">
        <v>988</v>
      </c>
      <c r="D104" s="54" t="s">
        <v>998</v>
      </c>
      <c r="E104" s="55" t="s">
        <v>690</v>
      </c>
      <c r="F104" s="56" t="str">
        <f t="shared" si="1"/>
        <v>061404602022025</v>
      </c>
      <c r="G104" s="54" t="s">
        <v>997</v>
      </c>
      <c r="H104" s="54"/>
      <c r="I104" s="57"/>
    </row>
    <row r="105" spans="1:9" ht="25.5" x14ac:dyDescent="0.2">
      <c r="A105" s="53" t="s">
        <v>113</v>
      </c>
      <c r="B105" s="54" t="s">
        <v>114</v>
      </c>
      <c r="C105" s="54" t="s">
        <v>999</v>
      </c>
      <c r="D105" s="54" t="s">
        <v>989</v>
      </c>
      <c r="E105" s="55" t="s">
        <v>447</v>
      </c>
      <c r="F105" s="56" t="str">
        <f t="shared" si="1"/>
        <v>061400104012025</v>
      </c>
      <c r="G105" s="54" t="s">
        <v>1000</v>
      </c>
      <c r="H105" s="54"/>
      <c r="I105" s="57"/>
    </row>
    <row r="106" spans="1:9" ht="25.5" x14ac:dyDescent="0.2">
      <c r="A106" s="53" t="s">
        <v>113</v>
      </c>
      <c r="B106" s="54" t="s">
        <v>114</v>
      </c>
      <c r="C106" s="54" t="s">
        <v>999</v>
      </c>
      <c r="D106" s="54" t="s">
        <v>991</v>
      </c>
      <c r="E106" s="55" t="s">
        <v>450</v>
      </c>
      <c r="F106" s="56" t="str">
        <f t="shared" si="1"/>
        <v>061400104022025</v>
      </c>
      <c r="G106" s="54" t="s">
        <v>1001</v>
      </c>
      <c r="H106" s="54"/>
      <c r="I106" s="57"/>
    </row>
    <row r="107" spans="1:9" ht="25.5" x14ac:dyDescent="0.2">
      <c r="A107" s="53" t="s">
        <v>113</v>
      </c>
      <c r="B107" s="54" t="s">
        <v>114</v>
      </c>
      <c r="C107" s="54" t="s">
        <v>999</v>
      </c>
      <c r="D107" s="54" t="s">
        <v>993</v>
      </c>
      <c r="E107" s="55" t="s">
        <v>687</v>
      </c>
      <c r="F107" s="56" t="str">
        <f t="shared" si="1"/>
        <v>061400102012025</v>
      </c>
      <c r="G107" s="54" t="s">
        <v>1001</v>
      </c>
      <c r="H107" s="54"/>
      <c r="I107" s="57"/>
    </row>
    <row r="108" spans="1:9" ht="25.5" x14ac:dyDescent="0.2">
      <c r="A108" s="53" t="s">
        <v>113</v>
      </c>
      <c r="B108" s="54" t="s">
        <v>114</v>
      </c>
      <c r="C108" s="54" t="s">
        <v>999</v>
      </c>
      <c r="D108" s="54" t="s">
        <v>994</v>
      </c>
      <c r="E108" s="55" t="s">
        <v>453</v>
      </c>
      <c r="F108" s="56" t="str">
        <f t="shared" si="1"/>
        <v>061400104032025</v>
      </c>
      <c r="G108" s="54" t="s">
        <v>1002</v>
      </c>
      <c r="H108" s="54"/>
      <c r="I108" s="57"/>
    </row>
    <row r="109" spans="1:9" ht="25.5" x14ac:dyDescent="0.2">
      <c r="A109" s="53" t="s">
        <v>113</v>
      </c>
      <c r="B109" s="54" t="s">
        <v>114</v>
      </c>
      <c r="C109" s="54" t="s">
        <v>999</v>
      </c>
      <c r="D109" s="54" t="s">
        <v>996</v>
      </c>
      <c r="E109" s="55" t="s">
        <v>457</v>
      </c>
      <c r="F109" s="56" t="str">
        <f t="shared" si="1"/>
        <v>061400104042025</v>
      </c>
      <c r="G109" s="54" t="s">
        <v>1003</v>
      </c>
      <c r="H109" s="54"/>
      <c r="I109" s="57"/>
    </row>
    <row r="110" spans="1:9" ht="25.5" x14ac:dyDescent="0.2">
      <c r="A110" s="53" t="s">
        <v>113</v>
      </c>
      <c r="B110" s="54" t="s">
        <v>114</v>
      </c>
      <c r="C110" s="54" t="s">
        <v>999</v>
      </c>
      <c r="D110" s="54" t="s">
        <v>998</v>
      </c>
      <c r="E110" s="55" t="s">
        <v>690</v>
      </c>
      <c r="F110" s="56" t="str">
        <f t="shared" si="1"/>
        <v>061400102022025</v>
      </c>
      <c r="G110" s="54" t="s">
        <v>1003</v>
      </c>
      <c r="H110" s="54"/>
      <c r="I110" s="57"/>
    </row>
    <row r="111" spans="1:9" ht="38.25" x14ac:dyDescent="0.2">
      <c r="A111" s="53" t="s">
        <v>243</v>
      </c>
      <c r="B111" s="54" t="s">
        <v>244</v>
      </c>
      <c r="C111" s="54" t="s">
        <v>1004</v>
      </c>
      <c r="D111" s="54" t="s">
        <v>989</v>
      </c>
      <c r="E111" s="55" t="s">
        <v>447</v>
      </c>
      <c r="F111" s="56" t="str">
        <f t="shared" si="1"/>
        <v>060700204012025</v>
      </c>
      <c r="G111" s="54" t="s">
        <v>1005</v>
      </c>
      <c r="H111" s="54"/>
      <c r="I111" s="57"/>
    </row>
    <row r="112" spans="1:9" x14ac:dyDescent="0.2">
      <c r="A112" s="53" t="s">
        <v>243</v>
      </c>
      <c r="B112" s="54" t="s">
        <v>244</v>
      </c>
      <c r="C112" s="54" t="s">
        <v>1004</v>
      </c>
      <c r="D112" s="54" t="s">
        <v>991</v>
      </c>
      <c r="E112" s="55" t="s">
        <v>450</v>
      </c>
      <c r="F112" s="56" t="str">
        <f t="shared" si="1"/>
        <v>060700204022025</v>
      </c>
      <c r="G112" s="54" t="s">
        <v>1006</v>
      </c>
      <c r="H112" s="54"/>
      <c r="I112" s="57"/>
    </row>
    <row r="113" spans="1:9" x14ac:dyDescent="0.2">
      <c r="A113" s="53" t="s">
        <v>243</v>
      </c>
      <c r="B113" s="54" t="s">
        <v>244</v>
      </c>
      <c r="C113" s="54" t="s">
        <v>1004</v>
      </c>
      <c r="D113" s="54" t="s">
        <v>993</v>
      </c>
      <c r="E113" s="55" t="s">
        <v>687</v>
      </c>
      <c r="F113" s="56" t="str">
        <f t="shared" si="1"/>
        <v>060700202012025</v>
      </c>
      <c r="G113" s="54" t="s">
        <v>1006</v>
      </c>
      <c r="H113" s="54"/>
      <c r="I113" s="57"/>
    </row>
    <row r="114" spans="1:9" ht="25.5" x14ac:dyDescent="0.2">
      <c r="A114" s="53" t="s">
        <v>243</v>
      </c>
      <c r="B114" s="54" t="s">
        <v>244</v>
      </c>
      <c r="C114" s="54" t="s">
        <v>1004</v>
      </c>
      <c r="D114" s="54" t="s">
        <v>994</v>
      </c>
      <c r="E114" s="55" t="s">
        <v>453</v>
      </c>
      <c r="F114" s="56" t="str">
        <f t="shared" si="1"/>
        <v>060700204032025</v>
      </c>
      <c r="G114" s="54" t="s">
        <v>1007</v>
      </c>
      <c r="H114" s="54"/>
      <c r="I114" s="57"/>
    </row>
    <row r="115" spans="1:9" ht="25.5" x14ac:dyDescent="0.2">
      <c r="A115" s="53" t="s">
        <v>243</v>
      </c>
      <c r="B115" s="54" t="s">
        <v>244</v>
      </c>
      <c r="C115" s="54" t="s">
        <v>1004</v>
      </c>
      <c r="D115" s="54" t="s">
        <v>996</v>
      </c>
      <c r="E115" s="55" t="s">
        <v>457</v>
      </c>
      <c r="F115" s="56" t="str">
        <f t="shared" si="1"/>
        <v>060700204042025</v>
      </c>
      <c r="G115" s="54" t="s">
        <v>1008</v>
      </c>
      <c r="H115" s="54"/>
      <c r="I115" s="57"/>
    </row>
    <row r="116" spans="1:9" ht="25.5" x14ac:dyDescent="0.2">
      <c r="A116" s="53" t="s">
        <v>243</v>
      </c>
      <c r="B116" s="54" t="s">
        <v>244</v>
      </c>
      <c r="C116" s="54" t="s">
        <v>1004</v>
      </c>
      <c r="D116" s="54" t="s">
        <v>998</v>
      </c>
      <c r="E116" s="55" t="s">
        <v>690</v>
      </c>
      <c r="F116" s="56" t="str">
        <f t="shared" si="1"/>
        <v>060700202022025</v>
      </c>
      <c r="G116" s="54" t="s">
        <v>1008</v>
      </c>
      <c r="H116" s="54"/>
      <c r="I116" s="57"/>
    </row>
    <row r="117" spans="1:9" x14ac:dyDescent="0.2">
      <c r="A117" s="53" t="s">
        <v>98</v>
      </c>
      <c r="B117" s="54" t="s">
        <v>1009</v>
      </c>
      <c r="C117" s="54" t="s">
        <v>1010</v>
      </c>
      <c r="D117" s="54" t="s">
        <v>989</v>
      </c>
      <c r="E117" s="55" t="s">
        <v>447</v>
      </c>
      <c r="F117" s="56" t="str">
        <f t="shared" si="1"/>
        <v>060970804012025</v>
      </c>
      <c r="G117" s="54" t="s">
        <v>1011</v>
      </c>
      <c r="H117" s="54"/>
      <c r="I117" s="57"/>
    </row>
    <row r="118" spans="1:9" x14ac:dyDescent="0.2">
      <c r="A118" s="53" t="s">
        <v>98</v>
      </c>
      <c r="B118" s="54" t="s">
        <v>1009</v>
      </c>
      <c r="C118" s="54" t="s">
        <v>1010</v>
      </c>
      <c r="D118" s="54" t="s">
        <v>991</v>
      </c>
      <c r="E118" s="55" t="s">
        <v>450</v>
      </c>
      <c r="F118" s="56" t="str">
        <f t="shared" si="1"/>
        <v>060970804022025</v>
      </c>
      <c r="G118" s="54" t="s">
        <v>1012</v>
      </c>
      <c r="H118" s="54"/>
      <c r="I118" s="57"/>
    </row>
    <row r="119" spans="1:9" x14ac:dyDescent="0.2">
      <c r="A119" s="53" t="s">
        <v>98</v>
      </c>
      <c r="B119" s="54" t="s">
        <v>1009</v>
      </c>
      <c r="C119" s="54" t="s">
        <v>1010</v>
      </c>
      <c r="D119" s="54" t="s">
        <v>993</v>
      </c>
      <c r="E119" s="55" t="s">
        <v>687</v>
      </c>
      <c r="F119" s="56" t="str">
        <f t="shared" si="1"/>
        <v>060970802012025</v>
      </c>
      <c r="G119" s="54" t="s">
        <v>1012</v>
      </c>
      <c r="H119" s="54"/>
      <c r="I119" s="57"/>
    </row>
    <row r="120" spans="1:9" x14ac:dyDescent="0.2">
      <c r="A120" s="53" t="s">
        <v>98</v>
      </c>
      <c r="B120" s="54" t="s">
        <v>1009</v>
      </c>
      <c r="C120" s="54" t="s">
        <v>1010</v>
      </c>
      <c r="D120" s="54" t="s">
        <v>994</v>
      </c>
      <c r="E120" s="55" t="s">
        <v>453</v>
      </c>
      <c r="F120" s="56" t="str">
        <f t="shared" si="1"/>
        <v>060970804032025</v>
      </c>
      <c r="G120" s="54" t="s">
        <v>1013</v>
      </c>
      <c r="H120" s="54"/>
      <c r="I120" s="57"/>
    </row>
    <row r="121" spans="1:9" x14ac:dyDescent="0.2">
      <c r="A121" s="53" t="s">
        <v>98</v>
      </c>
      <c r="B121" s="54" t="s">
        <v>1009</v>
      </c>
      <c r="C121" s="54" t="s">
        <v>1010</v>
      </c>
      <c r="D121" s="54" t="s">
        <v>996</v>
      </c>
      <c r="E121" s="55" t="s">
        <v>457</v>
      </c>
      <c r="F121" s="56" t="str">
        <f t="shared" si="1"/>
        <v>060970804042025</v>
      </c>
      <c r="G121" s="54" t="s">
        <v>1014</v>
      </c>
      <c r="H121" s="54"/>
      <c r="I121" s="57"/>
    </row>
    <row r="122" spans="1:9" x14ac:dyDescent="0.2">
      <c r="A122" s="53" t="s">
        <v>98</v>
      </c>
      <c r="B122" s="54" t="s">
        <v>1009</v>
      </c>
      <c r="C122" s="54" t="s">
        <v>1010</v>
      </c>
      <c r="D122" s="54" t="s">
        <v>998</v>
      </c>
      <c r="E122" s="55" t="s">
        <v>690</v>
      </c>
      <c r="F122" s="56" t="str">
        <f t="shared" si="1"/>
        <v>060970802022025</v>
      </c>
      <c r="G122" s="54" t="s">
        <v>1014</v>
      </c>
      <c r="H122" s="54"/>
      <c r="I122" s="57"/>
    </row>
    <row r="123" spans="1:9" x14ac:dyDescent="0.2">
      <c r="A123" s="53" t="s">
        <v>310</v>
      </c>
      <c r="B123" s="54" t="s">
        <v>1015</v>
      </c>
      <c r="C123" s="54" t="s">
        <v>1016</v>
      </c>
      <c r="D123" s="54" t="s">
        <v>989</v>
      </c>
      <c r="E123" s="55" t="s">
        <v>447</v>
      </c>
      <c r="F123" s="56" t="str">
        <f t="shared" si="1"/>
        <v>061200104012025</v>
      </c>
      <c r="G123" s="54" t="s">
        <v>1017</v>
      </c>
      <c r="H123" s="54"/>
      <c r="I123" s="57"/>
    </row>
    <row r="124" spans="1:9" ht="25.5" x14ac:dyDescent="0.2">
      <c r="A124" s="53" t="s">
        <v>63</v>
      </c>
      <c r="B124" s="54" t="s">
        <v>64</v>
      </c>
      <c r="C124" s="54" t="s">
        <v>1018</v>
      </c>
      <c r="D124" s="54" t="s">
        <v>989</v>
      </c>
      <c r="E124" s="55" t="s">
        <v>447</v>
      </c>
      <c r="F124" s="56" t="str">
        <f t="shared" si="1"/>
        <v>060925304012025</v>
      </c>
      <c r="G124" s="54" t="s">
        <v>990</v>
      </c>
      <c r="H124" s="54"/>
      <c r="I124" s="57"/>
    </row>
    <row r="125" spans="1:9" ht="25.5" x14ac:dyDescent="0.2">
      <c r="A125" s="53" t="s">
        <v>63</v>
      </c>
      <c r="B125" s="54" t="s">
        <v>64</v>
      </c>
      <c r="C125" s="54" t="s">
        <v>1018</v>
      </c>
      <c r="D125" s="54" t="s">
        <v>991</v>
      </c>
      <c r="E125" s="55" t="s">
        <v>450</v>
      </c>
      <c r="F125" s="56" t="str">
        <f t="shared" si="1"/>
        <v>060925304022025</v>
      </c>
      <c r="G125" s="54" t="s">
        <v>992</v>
      </c>
      <c r="H125" s="54"/>
      <c r="I125" s="57"/>
    </row>
    <row r="126" spans="1:9" ht="25.5" x14ac:dyDescent="0.2">
      <c r="A126" s="53" t="s">
        <v>63</v>
      </c>
      <c r="B126" s="54" t="s">
        <v>64</v>
      </c>
      <c r="C126" s="54" t="s">
        <v>1018</v>
      </c>
      <c r="D126" s="54" t="s">
        <v>993</v>
      </c>
      <c r="E126" s="55" t="s">
        <v>687</v>
      </c>
      <c r="F126" s="56" t="str">
        <f t="shared" si="1"/>
        <v>060925302012025</v>
      </c>
      <c r="G126" s="54" t="s">
        <v>992</v>
      </c>
      <c r="H126" s="54"/>
      <c r="I126" s="57"/>
    </row>
    <row r="127" spans="1:9" ht="25.5" x14ac:dyDescent="0.2">
      <c r="A127" s="53" t="s">
        <v>63</v>
      </c>
      <c r="B127" s="54" t="s">
        <v>64</v>
      </c>
      <c r="C127" s="54" t="s">
        <v>1018</v>
      </c>
      <c r="D127" s="54" t="s">
        <v>994</v>
      </c>
      <c r="E127" s="55" t="s">
        <v>453</v>
      </c>
      <c r="F127" s="56" t="str">
        <f t="shared" si="1"/>
        <v>060925304032025</v>
      </c>
      <c r="G127" s="54" t="s">
        <v>995</v>
      </c>
      <c r="H127" s="54"/>
      <c r="I127" s="57"/>
    </row>
    <row r="128" spans="1:9" ht="25.5" x14ac:dyDescent="0.2">
      <c r="A128" s="53" t="s">
        <v>63</v>
      </c>
      <c r="B128" s="54" t="s">
        <v>64</v>
      </c>
      <c r="C128" s="54" t="s">
        <v>1018</v>
      </c>
      <c r="D128" s="54" t="s">
        <v>996</v>
      </c>
      <c r="E128" s="55" t="s">
        <v>457</v>
      </c>
      <c r="F128" s="56" t="str">
        <f t="shared" si="1"/>
        <v>060925304042025</v>
      </c>
      <c r="G128" s="54" t="s">
        <v>1019</v>
      </c>
      <c r="H128" s="54"/>
      <c r="I128" s="57"/>
    </row>
    <row r="129" spans="1:9" ht="25.5" x14ac:dyDescent="0.2">
      <c r="A129" s="53" t="s">
        <v>63</v>
      </c>
      <c r="B129" s="54" t="s">
        <v>64</v>
      </c>
      <c r="C129" s="54" t="s">
        <v>1018</v>
      </c>
      <c r="D129" s="54" t="s">
        <v>998</v>
      </c>
      <c r="E129" s="55" t="s">
        <v>690</v>
      </c>
      <c r="F129" s="56" t="str">
        <f t="shared" si="1"/>
        <v>060925302022025</v>
      </c>
      <c r="G129" s="54" t="s">
        <v>1019</v>
      </c>
      <c r="H129" s="54"/>
      <c r="I129" s="57"/>
    </row>
    <row r="130" spans="1:9" ht="25.5" x14ac:dyDescent="0.2">
      <c r="A130" s="53" t="s">
        <v>50</v>
      </c>
      <c r="B130" s="54" t="s">
        <v>51</v>
      </c>
      <c r="C130" s="54" t="s">
        <v>1020</v>
      </c>
      <c r="D130" s="54" t="s">
        <v>989</v>
      </c>
      <c r="E130" s="55" t="s">
        <v>447</v>
      </c>
      <c r="F130" s="56" t="str">
        <f t="shared" si="1"/>
        <v>060922604012025</v>
      </c>
      <c r="G130" s="54" t="s">
        <v>990</v>
      </c>
      <c r="H130" s="54"/>
      <c r="I130" s="57"/>
    </row>
    <row r="131" spans="1:9" ht="25.5" x14ac:dyDescent="0.2">
      <c r="A131" s="53" t="s">
        <v>50</v>
      </c>
      <c r="B131" s="54" t="s">
        <v>51</v>
      </c>
      <c r="C131" s="54" t="s">
        <v>1020</v>
      </c>
      <c r="D131" s="54" t="s">
        <v>991</v>
      </c>
      <c r="E131" s="55" t="s">
        <v>450</v>
      </c>
      <c r="F131" s="56" t="str">
        <f t="shared" ref="F131:F194" si="2">CONCATENATE(A131,E131)</f>
        <v>060922604022025</v>
      </c>
      <c r="G131" s="54" t="s">
        <v>992</v>
      </c>
      <c r="H131" s="54"/>
      <c r="I131" s="57"/>
    </row>
    <row r="132" spans="1:9" ht="25.5" x14ac:dyDescent="0.2">
      <c r="A132" s="53" t="s">
        <v>50</v>
      </c>
      <c r="B132" s="54" t="s">
        <v>51</v>
      </c>
      <c r="C132" s="54" t="s">
        <v>1020</v>
      </c>
      <c r="D132" s="54" t="s">
        <v>993</v>
      </c>
      <c r="E132" s="55" t="s">
        <v>687</v>
      </c>
      <c r="F132" s="56" t="str">
        <f t="shared" si="2"/>
        <v>060922602012025</v>
      </c>
      <c r="G132" s="54" t="s">
        <v>992</v>
      </c>
      <c r="H132" s="54"/>
      <c r="I132" s="57"/>
    </row>
    <row r="133" spans="1:9" ht="25.5" x14ac:dyDescent="0.2">
      <c r="A133" s="53" t="s">
        <v>50</v>
      </c>
      <c r="B133" s="54" t="s">
        <v>51</v>
      </c>
      <c r="C133" s="54" t="s">
        <v>1020</v>
      </c>
      <c r="D133" s="54" t="s">
        <v>994</v>
      </c>
      <c r="E133" s="55" t="s">
        <v>453</v>
      </c>
      <c r="F133" s="56" t="str">
        <f t="shared" si="2"/>
        <v>060922604032025</v>
      </c>
      <c r="G133" s="54" t="s">
        <v>995</v>
      </c>
      <c r="H133" s="54"/>
      <c r="I133" s="57"/>
    </row>
    <row r="134" spans="1:9" ht="25.5" x14ac:dyDescent="0.2">
      <c r="A134" s="53" t="s">
        <v>50</v>
      </c>
      <c r="B134" s="54" t="s">
        <v>51</v>
      </c>
      <c r="C134" s="54" t="s">
        <v>1020</v>
      </c>
      <c r="D134" s="54" t="s">
        <v>996</v>
      </c>
      <c r="E134" s="55" t="s">
        <v>457</v>
      </c>
      <c r="F134" s="56" t="str">
        <f t="shared" si="2"/>
        <v>060922604042025</v>
      </c>
      <c r="G134" s="54" t="s">
        <v>997</v>
      </c>
      <c r="H134" s="54"/>
      <c r="I134" s="57"/>
    </row>
    <row r="135" spans="1:9" ht="25.5" x14ac:dyDescent="0.2">
      <c r="A135" s="53" t="s">
        <v>50</v>
      </c>
      <c r="B135" s="54" t="s">
        <v>51</v>
      </c>
      <c r="C135" s="54" t="s">
        <v>1020</v>
      </c>
      <c r="D135" s="54" t="s">
        <v>998</v>
      </c>
      <c r="E135" s="55" t="s">
        <v>690</v>
      </c>
      <c r="F135" s="56" t="str">
        <f t="shared" si="2"/>
        <v>060922602022025</v>
      </c>
      <c r="G135" s="54" t="s">
        <v>997</v>
      </c>
      <c r="H135" s="54"/>
      <c r="I135" s="57"/>
    </row>
    <row r="136" spans="1:9" ht="25.5" x14ac:dyDescent="0.2">
      <c r="A136" s="53" t="s">
        <v>52</v>
      </c>
      <c r="B136" s="54" t="s">
        <v>53</v>
      </c>
      <c r="C136" s="54" t="s">
        <v>1021</v>
      </c>
      <c r="D136" s="54" t="s">
        <v>989</v>
      </c>
      <c r="E136" s="55" t="s">
        <v>447</v>
      </c>
      <c r="F136" s="56" t="str">
        <f t="shared" si="2"/>
        <v>060922704012025</v>
      </c>
      <c r="G136" s="54" t="s">
        <v>990</v>
      </c>
      <c r="H136" s="54"/>
      <c r="I136" s="57"/>
    </row>
    <row r="137" spans="1:9" ht="25.5" x14ac:dyDescent="0.2">
      <c r="A137" s="53" t="s">
        <v>52</v>
      </c>
      <c r="B137" s="54" t="s">
        <v>53</v>
      </c>
      <c r="C137" s="54" t="s">
        <v>1021</v>
      </c>
      <c r="D137" s="54" t="s">
        <v>991</v>
      </c>
      <c r="E137" s="55" t="s">
        <v>450</v>
      </c>
      <c r="F137" s="56" t="str">
        <f t="shared" si="2"/>
        <v>060922704022025</v>
      </c>
      <c r="G137" s="54" t="s">
        <v>992</v>
      </c>
      <c r="H137" s="54"/>
      <c r="I137" s="57"/>
    </row>
    <row r="138" spans="1:9" ht="25.5" x14ac:dyDescent="0.2">
      <c r="A138" s="53" t="s">
        <v>52</v>
      </c>
      <c r="B138" s="54" t="s">
        <v>53</v>
      </c>
      <c r="C138" s="54" t="s">
        <v>1021</v>
      </c>
      <c r="D138" s="54" t="s">
        <v>993</v>
      </c>
      <c r="E138" s="55" t="s">
        <v>687</v>
      </c>
      <c r="F138" s="56" t="str">
        <f t="shared" si="2"/>
        <v>060922702012025</v>
      </c>
      <c r="G138" s="54" t="s">
        <v>992</v>
      </c>
      <c r="H138" s="54"/>
      <c r="I138" s="57"/>
    </row>
    <row r="139" spans="1:9" ht="25.5" x14ac:dyDescent="0.2">
      <c r="A139" s="53" t="s">
        <v>52</v>
      </c>
      <c r="B139" s="54" t="s">
        <v>53</v>
      </c>
      <c r="C139" s="54" t="s">
        <v>1021</v>
      </c>
      <c r="D139" s="54" t="s">
        <v>994</v>
      </c>
      <c r="E139" s="55" t="s">
        <v>453</v>
      </c>
      <c r="F139" s="56" t="str">
        <f t="shared" si="2"/>
        <v>060922704032025</v>
      </c>
      <c r="G139" s="54" t="s">
        <v>995</v>
      </c>
      <c r="H139" s="54"/>
      <c r="I139" s="57"/>
    </row>
    <row r="140" spans="1:9" ht="25.5" x14ac:dyDescent="0.2">
      <c r="A140" s="53" t="s">
        <v>52</v>
      </c>
      <c r="B140" s="54" t="s">
        <v>53</v>
      </c>
      <c r="C140" s="54" t="s">
        <v>1021</v>
      </c>
      <c r="D140" s="54" t="s">
        <v>996</v>
      </c>
      <c r="E140" s="55" t="s">
        <v>457</v>
      </c>
      <c r="F140" s="56" t="str">
        <f t="shared" si="2"/>
        <v>060922704042025</v>
      </c>
      <c r="G140" s="54" t="s">
        <v>997</v>
      </c>
      <c r="H140" s="54"/>
      <c r="I140" s="57"/>
    </row>
    <row r="141" spans="1:9" ht="25.5" x14ac:dyDescent="0.2">
      <c r="A141" s="53" t="s">
        <v>52</v>
      </c>
      <c r="B141" s="54" t="s">
        <v>53</v>
      </c>
      <c r="C141" s="54" t="s">
        <v>1021</v>
      </c>
      <c r="D141" s="54" t="s">
        <v>998</v>
      </c>
      <c r="E141" s="55" t="s">
        <v>690</v>
      </c>
      <c r="F141" s="56" t="str">
        <f t="shared" si="2"/>
        <v>060922702022025</v>
      </c>
      <c r="G141" s="54" t="s">
        <v>997</v>
      </c>
      <c r="H141" s="54"/>
      <c r="I141" s="57"/>
    </row>
    <row r="142" spans="1:9" ht="25.5" x14ac:dyDescent="0.2">
      <c r="A142" s="53" t="s">
        <v>65</v>
      </c>
      <c r="B142" s="54" t="s">
        <v>66</v>
      </c>
      <c r="C142" s="54" t="s">
        <v>1022</v>
      </c>
      <c r="D142" s="54" t="s">
        <v>989</v>
      </c>
      <c r="E142" s="55" t="s">
        <v>447</v>
      </c>
      <c r="F142" s="56" t="str">
        <f t="shared" si="2"/>
        <v>060925504012025</v>
      </c>
      <c r="G142" s="54" t="s">
        <v>990</v>
      </c>
      <c r="H142" s="54"/>
      <c r="I142" s="57"/>
    </row>
    <row r="143" spans="1:9" ht="25.5" x14ac:dyDescent="0.2">
      <c r="A143" s="53" t="s">
        <v>65</v>
      </c>
      <c r="B143" s="54" t="s">
        <v>66</v>
      </c>
      <c r="C143" s="54" t="s">
        <v>1022</v>
      </c>
      <c r="D143" s="54" t="s">
        <v>991</v>
      </c>
      <c r="E143" s="55" t="s">
        <v>450</v>
      </c>
      <c r="F143" s="56" t="str">
        <f t="shared" si="2"/>
        <v>060925504022025</v>
      </c>
      <c r="G143" s="54" t="s">
        <v>992</v>
      </c>
      <c r="H143" s="54"/>
      <c r="I143" s="57"/>
    </row>
    <row r="144" spans="1:9" ht="25.5" x14ac:dyDescent="0.2">
      <c r="A144" s="53" t="s">
        <v>65</v>
      </c>
      <c r="B144" s="54" t="s">
        <v>66</v>
      </c>
      <c r="C144" s="54" t="s">
        <v>1022</v>
      </c>
      <c r="D144" s="54" t="s">
        <v>993</v>
      </c>
      <c r="E144" s="55" t="s">
        <v>687</v>
      </c>
      <c r="F144" s="56" t="str">
        <f t="shared" si="2"/>
        <v>060925502012025</v>
      </c>
      <c r="G144" s="54" t="s">
        <v>992</v>
      </c>
      <c r="H144" s="54"/>
      <c r="I144" s="57"/>
    </row>
    <row r="145" spans="1:9" ht="25.5" x14ac:dyDescent="0.2">
      <c r="A145" s="53" t="s">
        <v>65</v>
      </c>
      <c r="B145" s="54" t="s">
        <v>66</v>
      </c>
      <c r="C145" s="54" t="s">
        <v>1022</v>
      </c>
      <c r="D145" s="54" t="s">
        <v>994</v>
      </c>
      <c r="E145" s="55" t="s">
        <v>453</v>
      </c>
      <c r="F145" s="56" t="str">
        <f t="shared" si="2"/>
        <v>060925504032025</v>
      </c>
      <c r="G145" s="54" t="s">
        <v>995</v>
      </c>
      <c r="H145" s="54"/>
      <c r="I145" s="57"/>
    </row>
    <row r="146" spans="1:9" ht="25.5" x14ac:dyDescent="0.2">
      <c r="A146" s="53" t="s">
        <v>65</v>
      </c>
      <c r="B146" s="54" t="s">
        <v>66</v>
      </c>
      <c r="C146" s="54" t="s">
        <v>1022</v>
      </c>
      <c r="D146" s="54" t="s">
        <v>996</v>
      </c>
      <c r="E146" s="55" t="s">
        <v>457</v>
      </c>
      <c r="F146" s="56" t="str">
        <f t="shared" si="2"/>
        <v>060925504042025</v>
      </c>
      <c r="G146" s="54" t="s">
        <v>1019</v>
      </c>
      <c r="H146" s="54"/>
      <c r="I146" s="57"/>
    </row>
    <row r="147" spans="1:9" ht="25.5" x14ac:dyDescent="0.2">
      <c r="A147" s="53" t="s">
        <v>65</v>
      </c>
      <c r="B147" s="54" t="s">
        <v>66</v>
      </c>
      <c r="C147" s="54" t="s">
        <v>1022</v>
      </c>
      <c r="D147" s="54" t="s">
        <v>998</v>
      </c>
      <c r="E147" s="55" t="s">
        <v>690</v>
      </c>
      <c r="F147" s="56" t="str">
        <f t="shared" si="2"/>
        <v>060925502022025</v>
      </c>
      <c r="G147" s="54" t="s">
        <v>1019</v>
      </c>
      <c r="H147" s="54"/>
      <c r="I147" s="57"/>
    </row>
    <row r="148" spans="1:9" ht="25.5" x14ac:dyDescent="0.2">
      <c r="A148" s="53" t="s">
        <v>14</v>
      </c>
      <c r="B148" s="54" t="s">
        <v>1023</v>
      </c>
      <c r="C148" s="54" t="s">
        <v>1024</v>
      </c>
      <c r="D148" s="54" t="s">
        <v>989</v>
      </c>
      <c r="E148" s="55" t="s">
        <v>447</v>
      </c>
      <c r="F148" s="56" t="str">
        <f t="shared" si="2"/>
        <v>060604504012025</v>
      </c>
      <c r="G148" s="54" t="s">
        <v>990</v>
      </c>
      <c r="H148" s="54"/>
      <c r="I148" s="57"/>
    </row>
    <row r="149" spans="1:9" ht="25.5" x14ac:dyDescent="0.2">
      <c r="A149" s="53" t="s">
        <v>14</v>
      </c>
      <c r="B149" s="54" t="s">
        <v>1023</v>
      </c>
      <c r="C149" s="54" t="s">
        <v>1024</v>
      </c>
      <c r="D149" s="54" t="s">
        <v>991</v>
      </c>
      <c r="E149" s="55" t="s">
        <v>450</v>
      </c>
      <c r="F149" s="56" t="str">
        <f t="shared" si="2"/>
        <v>060604504022025</v>
      </c>
      <c r="G149" s="54" t="s">
        <v>1025</v>
      </c>
      <c r="H149" s="54"/>
      <c r="I149" s="57"/>
    </row>
    <row r="150" spans="1:9" ht="25.5" x14ac:dyDescent="0.2">
      <c r="A150" s="53" t="s">
        <v>14</v>
      </c>
      <c r="B150" s="54" t="s">
        <v>1023</v>
      </c>
      <c r="C150" s="54" t="s">
        <v>1024</v>
      </c>
      <c r="D150" s="54" t="s">
        <v>993</v>
      </c>
      <c r="E150" s="55" t="s">
        <v>687</v>
      </c>
      <c r="F150" s="56" t="str">
        <f t="shared" si="2"/>
        <v>060604502012025</v>
      </c>
      <c r="G150" s="54" t="s">
        <v>1025</v>
      </c>
      <c r="H150" s="54"/>
      <c r="I150" s="57"/>
    </row>
    <row r="151" spans="1:9" ht="25.5" x14ac:dyDescent="0.2">
      <c r="A151" s="53" t="s">
        <v>14</v>
      </c>
      <c r="B151" s="54" t="s">
        <v>1023</v>
      </c>
      <c r="C151" s="54" t="s">
        <v>1024</v>
      </c>
      <c r="D151" s="54" t="s">
        <v>994</v>
      </c>
      <c r="E151" s="55" t="s">
        <v>453</v>
      </c>
      <c r="F151" s="56" t="str">
        <f t="shared" si="2"/>
        <v>060604504032025</v>
      </c>
      <c r="G151" s="54" t="s">
        <v>1026</v>
      </c>
      <c r="H151" s="54"/>
      <c r="I151" s="57"/>
    </row>
    <row r="152" spans="1:9" ht="25.5" x14ac:dyDescent="0.2">
      <c r="A152" s="53" t="s">
        <v>14</v>
      </c>
      <c r="B152" s="54" t="s">
        <v>1023</v>
      </c>
      <c r="C152" s="54" t="s">
        <v>1024</v>
      </c>
      <c r="D152" s="54" t="s">
        <v>996</v>
      </c>
      <c r="E152" s="55" t="s">
        <v>457</v>
      </c>
      <c r="F152" s="56" t="str">
        <f t="shared" si="2"/>
        <v>060604504042025</v>
      </c>
      <c r="G152" s="54" t="s">
        <v>1027</v>
      </c>
      <c r="H152" s="54"/>
      <c r="I152" s="57"/>
    </row>
    <row r="153" spans="1:9" ht="25.5" x14ac:dyDescent="0.2">
      <c r="A153" s="53" t="s">
        <v>14</v>
      </c>
      <c r="B153" s="54" t="s">
        <v>1023</v>
      </c>
      <c r="C153" s="54" t="s">
        <v>1024</v>
      </c>
      <c r="D153" s="54" t="s">
        <v>998</v>
      </c>
      <c r="E153" s="55" t="s">
        <v>690</v>
      </c>
      <c r="F153" s="56" t="str">
        <f t="shared" si="2"/>
        <v>060604502022025</v>
      </c>
      <c r="G153" s="54" t="s">
        <v>1027</v>
      </c>
      <c r="H153" s="54"/>
      <c r="I153" s="57"/>
    </row>
    <row r="154" spans="1:9" ht="25.5" x14ac:dyDescent="0.2">
      <c r="A154" s="53" t="s">
        <v>17</v>
      </c>
      <c r="B154" s="54" t="s">
        <v>1028</v>
      </c>
      <c r="C154" s="54" t="s">
        <v>1029</v>
      </c>
      <c r="D154" s="54" t="s">
        <v>989</v>
      </c>
      <c r="E154" s="55" t="s">
        <v>447</v>
      </c>
      <c r="F154" s="56" t="str">
        <f t="shared" si="2"/>
        <v>060604604012025</v>
      </c>
      <c r="G154" s="54" t="s">
        <v>990</v>
      </c>
      <c r="H154" s="54"/>
      <c r="I154" s="57"/>
    </row>
    <row r="155" spans="1:9" ht="25.5" x14ac:dyDescent="0.2">
      <c r="A155" s="53" t="s">
        <v>17</v>
      </c>
      <c r="B155" s="54" t="s">
        <v>1028</v>
      </c>
      <c r="C155" s="54" t="s">
        <v>1029</v>
      </c>
      <c r="D155" s="54" t="s">
        <v>991</v>
      </c>
      <c r="E155" s="55" t="s">
        <v>450</v>
      </c>
      <c r="F155" s="56" t="str">
        <f t="shared" si="2"/>
        <v>060604604022025</v>
      </c>
      <c r="G155" s="54" t="s">
        <v>1025</v>
      </c>
      <c r="H155" s="54"/>
      <c r="I155" s="57"/>
    </row>
    <row r="156" spans="1:9" ht="25.5" x14ac:dyDescent="0.2">
      <c r="A156" s="53" t="s">
        <v>17</v>
      </c>
      <c r="B156" s="54" t="s">
        <v>1028</v>
      </c>
      <c r="C156" s="54" t="s">
        <v>1029</v>
      </c>
      <c r="D156" s="54" t="s">
        <v>993</v>
      </c>
      <c r="E156" s="55" t="s">
        <v>687</v>
      </c>
      <c r="F156" s="56" t="str">
        <f t="shared" si="2"/>
        <v>060604602012025</v>
      </c>
      <c r="G156" s="54" t="s">
        <v>1025</v>
      </c>
      <c r="H156" s="54"/>
      <c r="I156" s="57"/>
    </row>
    <row r="157" spans="1:9" ht="25.5" x14ac:dyDescent="0.2">
      <c r="A157" s="53" t="s">
        <v>17</v>
      </c>
      <c r="B157" s="54" t="s">
        <v>1028</v>
      </c>
      <c r="C157" s="54" t="s">
        <v>1029</v>
      </c>
      <c r="D157" s="54" t="s">
        <v>994</v>
      </c>
      <c r="E157" s="55" t="s">
        <v>453</v>
      </c>
      <c r="F157" s="56" t="str">
        <f t="shared" si="2"/>
        <v>060604604032025</v>
      </c>
      <c r="G157" s="54" t="s">
        <v>1026</v>
      </c>
      <c r="H157" s="54"/>
      <c r="I157" s="57"/>
    </row>
    <row r="158" spans="1:9" ht="25.5" x14ac:dyDescent="0.2">
      <c r="A158" s="53" t="s">
        <v>17</v>
      </c>
      <c r="B158" s="54" t="s">
        <v>1028</v>
      </c>
      <c r="C158" s="54" t="s">
        <v>1029</v>
      </c>
      <c r="D158" s="54" t="s">
        <v>996</v>
      </c>
      <c r="E158" s="55" t="s">
        <v>457</v>
      </c>
      <c r="F158" s="56" t="str">
        <f t="shared" si="2"/>
        <v>060604604042025</v>
      </c>
      <c r="G158" s="54" t="s">
        <v>1027</v>
      </c>
      <c r="H158" s="54"/>
      <c r="I158" s="57"/>
    </row>
    <row r="159" spans="1:9" ht="25.5" x14ac:dyDescent="0.2">
      <c r="A159" s="53" t="s">
        <v>17</v>
      </c>
      <c r="B159" s="54" t="s">
        <v>1028</v>
      </c>
      <c r="C159" s="54" t="s">
        <v>1029</v>
      </c>
      <c r="D159" s="54" t="s">
        <v>998</v>
      </c>
      <c r="E159" s="55" t="s">
        <v>690</v>
      </c>
      <c r="F159" s="56" t="str">
        <f t="shared" si="2"/>
        <v>060604602022025</v>
      </c>
      <c r="G159" s="54" t="s">
        <v>1027</v>
      </c>
      <c r="H159" s="54"/>
      <c r="I159" s="57"/>
    </row>
    <row r="160" spans="1:9" ht="38.25" x14ac:dyDescent="0.2">
      <c r="A160" s="53" t="s">
        <v>19</v>
      </c>
      <c r="B160" s="54" t="s">
        <v>1030</v>
      </c>
      <c r="C160" s="54" t="s">
        <v>1031</v>
      </c>
      <c r="D160" s="54" t="s">
        <v>989</v>
      </c>
      <c r="E160" s="55" t="s">
        <v>447</v>
      </c>
      <c r="F160" s="56" t="str">
        <f t="shared" si="2"/>
        <v>060604704012025</v>
      </c>
      <c r="G160" s="54" t="s">
        <v>990</v>
      </c>
      <c r="H160" s="54"/>
      <c r="I160" s="57"/>
    </row>
    <row r="161" spans="1:9" ht="38.25" x14ac:dyDescent="0.2">
      <c r="A161" s="53" t="s">
        <v>19</v>
      </c>
      <c r="B161" s="54" t="s">
        <v>1030</v>
      </c>
      <c r="C161" s="54" t="s">
        <v>1031</v>
      </c>
      <c r="D161" s="54" t="s">
        <v>991</v>
      </c>
      <c r="E161" s="55" t="s">
        <v>450</v>
      </c>
      <c r="F161" s="56" t="str">
        <f t="shared" si="2"/>
        <v>060604704022025</v>
      </c>
      <c r="G161" s="54" t="s">
        <v>1025</v>
      </c>
      <c r="H161" s="54"/>
      <c r="I161" s="57"/>
    </row>
    <row r="162" spans="1:9" ht="38.25" x14ac:dyDescent="0.2">
      <c r="A162" s="53" t="s">
        <v>19</v>
      </c>
      <c r="B162" s="54" t="s">
        <v>1030</v>
      </c>
      <c r="C162" s="54" t="s">
        <v>1031</v>
      </c>
      <c r="D162" s="54" t="s">
        <v>993</v>
      </c>
      <c r="E162" s="55" t="s">
        <v>687</v>
      </c>
      <c r="F162" s="56" t="str">
        <f t="shared" si="2"/>
        <v>060604702012025</v>
      </c>
      <c r="G162" s="54" t="s">
        <v>1025</v>
      </c>
      <c r="H162" s="54"/>
      <c r="I162" s="57"/>
    </row>
    <row r="163" spans="1:9" ht="38.25" x14ac:dyDescent="0.2">
      <c r="A163" s="53" t="s">
        <v>19</v>
      </c>
      <c r="B163" s="54" t="s">
        <v>1030</v>
      </c>
      <c r="C163" s="54" t="s">
        <v>1031</v>
      </c>
      <c r="D163" s="54" t="s">
        <v>994</v>
      </c>
      <c r="E163" s="55" t="s">
        <v>453</v>
      </c>
      <c r="F163" s="56" t="str">
        <f t="shared" si="2"/>
        <v>060604704032025</v>
      </c>
      <c r="G163" s="54" t="s">
        <v>1026</v>
      </c>
      <c r="H163" s="54"/>
      <c r="I163" s="57"/>
    </row>
    <row r="164" spans="1:9" ht="38.25" x14ac:dyDescent="0.2">
      <c r="A164" s="53" t="s">
        <v>19</v>
      </c>
      <c r="B164" s="54" t="s">
        <v>1030</v>
      </c>
      <c r="C164" s="54" t="s">
        <v>1031</v>
      </c>
      <c r="D164" s="54" t="s">
        <v>996</v>
      </c>
      <c r="E164" s="55" t="s">
        <v>457</v>
      </c>
      <c r="F164" s="56" t="str">
        <f t="shared" si="2"/>
        <v>060604704042025</v>
      </c>
      <c r="G164" s="54" t="s">
        <v>1027</v>
      </c>
      <c r="H164" s="54"/>
      <c r="I164" s="57"/>
    </row>
    <row r="165" spans="1:9" ht="38.25" x14ac:dyDescent="0.2">
      <c r="A165" s="53" t="s">
        <v>19</v>
      </c>
      <c r="B165" s="54" t="s">
        <v>1030</v>
      </c>
      <c r="C165" s="54" t="s">
        <v>1031</v>
      </c>
      <c r="D165" s="54" t="s">
        <v>998</v>
      </c>
      <c r="E165" s="55" t="s">
        <v>690</v>
      </c>
      <c r="F165" s="56" t="str">
        <f t="shared" si="2"/>
        <v>060604702022025</v>
      </c>
      <c r="G165" s="54" t="s">
        <v>1027</v>
      </c>
      <c r="H165" s="54"/>
      <c r="I165" s="57"/>
    </row>
    <row r="166" spans="1:9" ht="25.5" x14ac:dyDescent="0.2">
      <c r="A166" s="53" t="s">
        <v>21</v>
      </c>
      <c r="B166" s="54" t="s">
        <v>1032</v>
      </c>
      <c r="C166" s="54" t="s">
        <v>1033</v>
      </c>
      <c r="D166" s="54" t="s">
        <v>989</v>
      </c>
      <c r="E166" s="55" t="s">
        <v>447</v>
      </c>
      <c r="F166" s="56" t="str">
        <f t="shared" si="2"/>
        <v>060604804012025</v>
      </c>
      <c r="G166" s="54" t="s">
        <v>990</v>
      </c>
      <c r="H166" s="54"/>
      <c r="I166" s="57"/>
    </row>
    <row r="167" spans="1:9" ht="25.5" x14ac:dyDescent="0.2">
      <c r="A167" s="53" t="s">
        <v>21</v>
      </c>
      <c r="B167" s="54" t="s">
        <v>1032</v>
      </c>
      <c r="C167" s="54" t="s">
        <v>1033</v>
      </c>
      <c r="D167" s="54" t="s">
        <v>991</v>
      </c>
      <c r="E167" s="55" t="s">
        <v>450</v>
      </c>
      <c r="F167" s="56" t="str">
        <f t="shared" si="2"/>
        <v>060604804022025</v>
      </c>
      <c r="G167" s="54" t="s">
        <v>1025</v>
      </c>
      <c r="H167" s="54"/>
      <c r="I167" s="57"/>
    </row>
    <row r="168" spans="1:9" ht="25.5" x14ac:dyDescent="0.2">
      <c r="A168" s="53" t="s">
        <v>21</v>
      </c>
      <c r="B168" s="54" t="s">
        <v>1032</v>
      </c>
      <c r="C168" s="54" t="s">
        <v>1033</v>
      </c>
      <c r="D168" s="54" t="s">
        <v>993</v>
      </c>
      <c r="E168" s="55" t="s">
        <v>687</v>
      </c>
      <c r="F168" s="56" t="str">
        <f t="shared" si="2"/>
        <v>060604802012025</v>
      </c>
      <c r="G168" s="54" t="s">
        <v>1025</v>
      </c>
      <c r="H168" s="54"/>
      <c r="I168" s="57"/>
    </row>
    <row r="169" spans="1:9" ht="25.5" x14ac:dyDescent="0.2">
      <c r="A169" s="53" t="s">
        <v>21</v>
      </c>
      <c r="B169" s="54" t="s">
        <v>1032</v>
      </c>
      <c r="C169" s="54" t="s">
        <v>1033</v>
      </c>
      <c r="D169" s="54" t="s">
        <v>994</v>
      </c>
      <c r="E169" s="55" t="s">
        <v>453</v>
      </c>
      <c r="F169" s="56" t="str">
        <f t="shared" si="2"/>
        <v>060604804032025</v>
      </c>
      <c r="G169" s="54" t="s">
        <v>1026</v>
      </c>
      <c r="H169" s="54"/>
      <c r="I169" s="57"/>
    </row>
    <row r="170" spans="1:9" ht="25.5" x14ac:dyDescent="0.2">
      <c r="A170" s="53" t="s">
        <v>21</v>
      </c>
      <c r="B170" s="54" t="s">
        <v>1032</v>
      </c>
      <c r="C170" s="54" t="s">
        <v>1033</v>
      </c>
      <c r="D170" s="54" t="s">
        <v>996</v>
      </c>
      <c r="E170" s="55" t="s">
        <v>457</v>
      </c>
      <c r="F170" s="56" t="str">
        <f t="shared" si="2"/>
        <v>060604804042025</v>
      </c>
      <c r="G170" s="54" t="s">
        <v>1027</v>
      </c>
      <c r="H170" s="54"/>
      <c r="I170" s="57"/>
    </row>
    <row r="171" spans="1:9" ht="25.5" x14ac:dyDescent="0.2">
      <c r="A171" s="53" t="s">
        <v>21</v>
      </c>
      <c r="B171" s="54" t="s">
        <v>1032</v>
      </c>
      <c r="C171" s="54" t="s">
        <v>1033</v>
      </c>
      <c r="D171" s="54" t="s">
        <v>998</v>
      </c>
      <c r="E171" s="55" t="s">
        <v>690</v>
      </c>
      <c r="F171" s="56" t="str">
        <f t="shared" si="2"/>
        <v>060604802022025</v>
      </c>
      <c r="G171" s="54" t="s">
        <v>1027</v>
      </c>
      <c r="H171" s="54"/>
      <c r="I171" s="57"/>
    </row>
    <row r="172" spans="1:9" ht="25.5" x14ac:dyDescent="0.2">
      <c r="A172" s="53" t="s">
        <v>23</v>
      </c>
      <c r="B172" s="54" t="s">
        <v>1034</v>
      </c>
      <c r="C172" s="54" t="s">
        <v>1035</v>
      </c>
      <c r="D172" s="54" t="s">
        <v>989</v>
      </c>
      <c r="E172" s="55" t="s">
        <v>447</v>
      </c>
      <c r="F172" s="56" t="str">
        <f t="shared" si="2"/>
        <v>060604904012025</v>
      </c>
      <c r="G172" s="54" t="s">
        <v>990</v>
      </c>
      <c r="H172" s="54"/>
      <c r="I172" s="57"/>
    </row>
    <row r="173" spans="1:9" ht="25.5" x14ac:dyDescent="0.2">
      <c r="A173" s="53" t="s">
        <v>23</v>
      </c>
      <c r="B173" s="54" t="s">
        <v>1034</v>
      </c>
      <c r="C173" s="54" t="s">
        <v>1035</v>
      </c>
      <c r="D173" s="54" t="s">
        <v>991</v>
      </c>
      <c r="E173" s="55" t="s">
        <v>450</v>
      </c>
      <c r="F173" s="56" t="str">
        <f t="shared" si="2"/>
        <v>060604904022025</v>
      </c>
      <c r="G173" s="54" t="s">
        <v>1025</v>
      </c>
      <c r="H173" s="54"/>
      <c r="I173" s="57"/>
    </row>
    <row r="174" spans="1:9" ht="25.5" x14ac:dyDescent="0.2">
      <c r="A174" s="53" t="s">
        <v>23</v>
      </c>
      <c r="B174" s="54" t="s">
        <v>1034</v>
      </c>
      <c r="C174" s="54" t="s">
        <v>1035</v>
      </c>
      <c r="D174" s="54" t="s">
        <v>993</v>
      </c>
      <c r="E174" s="55" t="s">
        <v>687</v>
      </c>
      <c r="F174" s="56" t="str">
        <f t="shared" si="2"/>
        <v>060604902012025</v>
      </c>
      <c r="G174" s="54" t="s">
        <v>1025</v>
      </c>
      <c r="H174" s="54"/>
      <c r="I174" s="57"/>
    </row>
    <row r="175" spans="1:9" ht="25.5" x14ac:dyDescent="0.2">
      <c r="A175" s="53" t="s">
        <v>23</v>
      </c>
      <c r="B175" s="54" t="s">
        <v>1034</v>
      </c>
      <c r="C175" s="54" t="s">
        <v>1035</v>
      </c>
      <c r="D175" s="54" t="s">
        <v>994</v>
      </c>
      <c r="E175" s="55" t="s">
        <v>453</v>
      </c>
      <c r="F175" s="56" t="str">
        <f t="shared" si="2"/>
        <v>060604904032025</v>
      </c>
      <c r="G175" s="54" t="s">
        <v>1026</v>
      </c>
      <c r="H175" s="54"/>
      <c r="I175" s="57"/>
    </row>
    <row r="176" spans="1:9" ht="25.5" x14ac:dyDescent="0.2">
      <c r="A176" s="53" t="s">
        <v>23</v>
      </c>
      <c r="B176" s="54" t="s">
        <v>1034</v>
      </c>
      <c r="C176" s="54" t="s">
        <v>1035</v>
      </c>
      <c r="D176" s="54" t="s">
        <v>996</v>
      </c>
      <c r="E176" s="55" t="s">
        <v>457</v>
      </c>
      <c r="F176" s="56" t="str">
        <f t="shared" si="2"/>
        <v>060604904042025</v>
      </c>
      <c r="G176" s="54" t="s">
        <v>1027</v>
      </c>
      <c r="H176" s="54"/>
      <c r="I176" s="57"/>
    </row>
    <row r="177" spans="1:9" ht="25.5" x14ac:dyDescent="0.2">
      <c r="A177" s="53" t="s">
        <v>23</v>
      </c>
      <c r="B177" s="54" t="s">
        <v>1034</v>
      </c>
      <c r="C177" s="54" t="s">
        <v>1035</v>
      </c>
      <c r="D177" s="54" t="s">
        <v>998</v>
      </c>
      <c r="E177" s="55" t="s">
        <v>690</v>
      </c>
      <c r="F177" s="56" t="str">
        <f t="shared" si="2"/>
        <v>060604902022025</v>
      </c>
      <c r="G177" s="54" t="s">
        <v>1027</v>
      </c>
      <c r="H177" s="54"/>
      <c r="I177" s="57"/>
    </row>
    <row r="178" spans="1:9" x14ac:dyDescent="0.2">
      <c r="A178" s="53" t="s">
        <v>142</v>
      </c>
      <c r="B178" s="54" t="s">
        <v>143</v>
      </c>
      <c r="C178" s="54" t="s">
        <v>1036</v>
      </c>
      <c r="D178" s="54" t="s">
        <v>989</v>
      </c>
      <c r="E178" s="55" t="s">
        <v>447</v>
      </c>
      <c r="F178" s="56" t="str">
        <f t="shared" si="2"/>
        <v>061401104012025</v>
      </c>
      <c r="G178" s="54" t="s">
        <v>990</v>
      </c>
      <c r="H178" s="54"/>
      <c r="I178" s="57"/>
    </row>
    <row r="179" spans="1:9" x14ac:dyDescent="0.2">
      <c r="A179" s="53" t="s">
        <v>142</v>
      </c>
      <c r="B179" s="54" t="s">
        <v>143</v>
      </c>
      <c r="C179" s="54" t="s">
        <v>1036</v>
      </c>
      <c r="D179" s="54" t="s">
        <v>991</v>
      </c>
      <c r="E179" s="55" t="s">
        <v>450</v>
      </c>
      <c r="F179" s="56" t="str">
        <f t="shared" si="2"/>
        <v>061401104022025</v>
      </c>
      <c r="G179" s="54" t="s">
        <v>992</v>
      </c>
      <c r="H179" s="54"/>
      <c r="I179" s="57"/>
    </row>
    <row r="180" spans="1:9" x14ac:dyDescent="0.2">
      <c r="A180" s="53" t="s">
        <v>142</v>
      </c>
      <c r="B180" s="54" t="s">
        <v>143</v>
      </c>
      <c r="C180" s="54" t="s">
        <v>1036</v>
      </c>
      <c r="D180" s="54" t="s">
        <v>993</v>
      </c>
      <c r="E180" s="55" t="s">
        <v>687</v>
      </c>
      <c r="F180" s="56" t="str">
        <f t="shared" si="2"/>
        <v>061401102012025</v>
      </c>
      <c r="G180" s="54" t="s">
        <v>992</v>
      </c>
      <c r="H180" s="54"/>
      <c r="I180" s="57"/>
    </row>
    <row r="181" spans="1:9" x14ac:dyDescent="0.2">
      <c r="A181" s="53" t="s">
        <v>142</v>
      </c>
      <c r="B181" s="54" t="s">
        <v>143</v>
      </c>
      <c r="C181" s="54" t="s">
        <v>1036</v>
      </c>
      <c r="D181" s="54" t="s">
        <v>994</v>
      </c>
      <c r="E181" s="55" t="s">
        <v>453</v>
      </c>
      <c r="F181" s="56" t="str">
        <f t="shared" si="2"/>
        <v>061401104032025</v>
      </c>
      <c r="G181" s="54" t="s">
        <v>995</v>
      </c>
      <c r="H181" s="54"/>
      <c r="I181" s="57"/>
    </row>
    <row r="182" spans="1:9" x14ac:dyDescent="0.2">
      <c r="A182" s="53" t="s">
        <v>142</v>
      </c>
      <c r="B182" s="54" t="s">
        <v>143</v>
      </c>
      <c r="C182" s="54" t="s">
        <v>1036</v>
      </c>
      <c r="D182" s="54" t="s">
        <v>996</v>
      </c>
      <c r="E182" s="55" t="s">
        <v>457</v>
      </c>
      <c r="F182" s="56" t="str">
        <f t="shared" si="2"/>
        <v>061401104042025</v>
      </c>
      <c r="G182" s="54" t="s">
        <v>1019</v>
      </c>
      <c r="H182" s="54"/>
      <c r="I182" s="57"/>
    </row>
    <row r="183" spans="1:9" x14ac:dyDescent="0.2">
      <c r="A183" s="53" t="s">
        <v>142</v>
      </c>
      <c r="B183" s="54" t="s">
        <v>143</v>
      </c>
      <c r="C183" s="54" t="s">
        <v>1036</v>
      </c>
      <c r="D183" s="54" t="s">
        <v>998</v>
      </c>
      <c r="E183" s="55" t="s">
        <v>690</v>
      </c>
      <c r="F183" s="56" t="str">
        <f t="shared" si="2"/>
        <v>061401102022025</v>
      </c>
      <c r="G183" s="54" t="s">
        <v>1019</v>
      </c>
      <c r="H183" s="54"/>
      <c r="I183" s="57"/>
    </row>
    <row r="184" spans="1:9" x14ac:dyDescent="0.2">
      <c r="A184" s="53" t="s">
        <v>1037</v>
      </c>
      <c r="B184" s="54" t="s">
        <v>1038</v>
      </c>
      <c r="C184" s="54" t="s">
        <v>1039</v>
      </c>
      <c r="D184" s="54" t="s">
        <v>989</v>
      </c>
      <c r="E184" s="55" t="s">
        <v>447</v>
      </c>
      <c r="F184" s="56" t="str">
        <f t="shared" si="2"/>
        <v>061006604012025</v>
      </c>
      <c r="G184" s="54" t="s">
        <v>990</v>
      </c>
      <c r="H184" s="54"/>
      <c r="I184" s="57"/>
    </row>
    <row r="185" spans="1:9" x14ac:dyDescent="0.2">
      <c r="A185" s="53" t="s">
        <v>1037</v>
      </c>
      <c r="B185" s="54" t="s">
        <v>1038</v>
      </c>
      <c r="C185" s="54" t="s">
        <v>1039</v>
      </c>
      <c r="D185" s="54" t="s">
        <v>991</v>
      </c>
      <c r="E185" s="55" t="s">
        <v>450</v>
      </c>
      <c r="F185" s="56" t="str">
        <f t="shared" si="2"/>
        <v>061006604022025</v>
      </c>
      <c r="G185" s="54" t="s">
        <v>992</v>
      </c>
      <c r="H185" s="54"/>
      <c r="I185" s="57"/>
    </row>
    <row r="186" spans="1:9" x14ac:dyDescent="0.2">
      <c r="A186" s="53" t="s">
        <v>1037</v>
      </c>
      <c r="B186" s="54" t="s">
        <v>1038</v>
      </c>
      <c r="C186" s="54" t="s">
        <v>1039</v>
      </c>
      <c r="D186" s="54" t="s">
        <v>993</v>
      </c>
      <c r="E186" s="55" t="s">
        <v>687</v>
      </c>
      <c r="F186" s="56" t="str">
        <f t="shared" si="2"/>
        <v>061006602012025</v>
      </c>
      <c r="G186" s="54" t="s">
        <v>992</v>
      </c>
      <c r="H186" s="54"/>
      <c r="I186" s="57"/>
    </row>
    <row r="187" spans="1:9" x14ac:dyDescent="0.2">
      <c r="A187" s="53" t="s">
        <v>1037</v>
      </c>
      <c r="B187" s="54" t="s">
        <v>1038</v>
      </c>
      <c r="C187" s="54" t="s">
        <v>1039</v>
      </c>
      <c r="D187" s="54" t="s">
        <v>994</v>
      </c>
      <c r="E187" s="55" t="s">
        <v>453</v>
      </c>
      <c r="F187" s="56" t="str">
        <f t="shared" si="2"/>
        <v>061006604032025</v>
      </c>
      <c r="G187" s="54" t="s">
        <v>1040</v>
      </c>
      <c r="H187" s="54"/>
      <c r="I187" s="57"/>
    </row>
    <row r="188" spans="1:9" x14ac:dyDescent="0.2">
      <c r="A188" s="53" t="s">
        <v>1037</v>
      </c>
      <c r="B188" s="54" t="s">
        <v>1038</v>
      </c>
      <c r="C188" s="54" t="s">
        <v>1039</v>
      </c>
      <c r="D188" s="54" t="s">
        <v>996</v>
      </c>
      <c r="E188" s="55" t="s">
        <v>457</v>
      </c>
      <c r="F188" s="56" t="str">
        <f t="shared" si="2"/>
        <v>061006604042025</v>
      </c>
      <c r="G188" s="54" t="s">
        <v>997</v>
      </c>
      <c r="H188" s="54"/>
      <c r="I188" s="57"/>
    </row>
    <row r="189" spans="1:9" x14ac:dyDescent="0.2">
      <c r="A189" s="53" t="s">
        <v>1037</v>
      </c>
      <c r="B189" s="54" t="s">
        <v>1038</v>
      </c>
      <c r="C189" s="54" t="s">
        <v>1039</v>
      </c>
      <c r="D189" s="54" t="s">
        <v>998</v>
      </c>
      <c r="E189" s="55" t="s">
        <v>690</v>
      </c>
      <c r="F189" s="56" t="str">
        <f t="shared" si="2"/>
        <v>061006602022025</v>
      </c>
      <c r="G189" s="54" t="s">
        <v>997</v>
      </c>
      <c r="H189" s="54"/>
      <c r="I189" s="57"/>
    </row>
    <row r="190" spans="1:9" ht="25.5" x14ac:dyDescent="0.2">
      <c r="A190" s="53" t="s">
        <v>275</v>
      </c>
      <c r="B190" s="54" t="s">
        <v>1041</v>
      </c>
      <c r="C190" s="54" t="s">
        <v>1042</v>
      </c>
      <c r="D190" s="54" t="s">
        <v>989</v>
      </c>
      <c r="E190" s="55" t="s">
        <v>447</v>
      </c>
      <c r="F190" s="56" t="str">
        <f t="shared" si="2"/>
        <v>060701704012025</v>
      </c>
      <c r="G190" s="54" t="s">
        <v>990</v>
      </c>
      <c r="H190" s="54"/>
      <c r="I190" s="57"/>
    </row>
    <row r="191" spans="1:9" ht="38.25" x14ac:dyDescent="0.2">
      <c r="A191" s="53" t="s">
        <v>275</v>
      </c>
      <c r="B191" s="54" t="s">
        <v>1041</v>
      </c>
      <c r="C191" s="54" t="s">
        <v>1042</v>
      </c>
      <c r="D191" s="54" t="s">
        <v>991</v>
      </c>
      <c r="E191" s="55" t="s">
        <v>450</v>
      </c>
      <c r="F191" s="56" t="str">
        <f t="shared" si="2"/>
        <v>060701704022025</v>
      </c>
      <c r="G191" s="54" t="s">
        <v>1043</v>
      </c>
      <c r="H191" s="54"/>
      <c r="I191" s="57"/>
    </row>
    <row r="192" spans="1:9" ht="38.25" x14ac:dyDescent="0.2">
      <c r="A192" s="53" t="s">
        <v>275</v>
      </c>
      <c r="B192" s="54" t="s">
        <v>1041</v>
      </c>
      <c r="C192" s="54" t="s">
        <v>1042</v>
      </c>
      <c r="D192" s="54" t="s">
        <v>993</v>
      </c>
      <c r="E192" s="55" t="s">
        <v>687</v>
      </c>
      <c r="F192" s="56" t="str">
        <f t="shared" si="2"/>
        <v>060701702012025</v>
      </c>
      <c r="G192" s="54" t="s">
        <v>1043</v>
      </c>
      <c r="H192" s="54"/>
      <c r="I192" s="57"/>
    </row>
    <row r="193" spans="1:9" ht="25.5" x14ac:dyDescent="0.2">
      <c r="A193" s="53" t="s">
        <v>275</v>
      </c>
      <c r="B193" s="54" t="s">
        <v>1041</v>
      </c>
      <c r="C193" s="54" t="s">
        <v>1042</v>
      </c>
      <c r="D193" s="54" t="s">
        <v>994</v>
      </c>
      <c r="E193" s="55" t="s">
        <v>453</v>
      </c>
      <c r="F193" s="56" t="str">
        <f t="shared" si="2"/>
        <v>060701704032025</v>
      </c>
      <c r="G193" s="54" t="s">
        <v>1044</v>
      </c>
      <c r="H193" s="54"/>
      <c r="I193" s="57"/>
    </row>
    <row r="194" spans="1:9" ht="25.5" x14ac:dyDescent="0.2">
      <c r="A194" s="53" t="s">
        <v>275</v>
      </c>
      <c r="B194" s="54" t="s">
        <v>1041</v>
      </c>
      <c r="C194" s="54" t="s">
        <v>1042</v>
      </c>
      <c r="D194" s="54" t="s">
        <v>996</v>
      </c>
      <c r="E194" s="55" t="s">
        <v>457</v>
      </c>
      <c r="F194" s="56" t="str">
        <f t="shared" si="2"/>
        <v>060701704042025</v>
      </c>
      <c r="G194" s="54" t="s">
        <v>1045</v>
      </c>
      <c r="H194" s="54"/>
      <c r="I194" s="57"/>
    </row>
    <row r="195" spans="1:9" ht="25.5" x14ac:dyDescent="0.2">
      <c r="A195" s="53" t="s">
        <v>275</v>
      </c>
      <c r="B195" s="54" t="s">
        <v>1041</v>
      </c>
      <c r="C195" s="54" t="s">
        <v>1042</v>
      </c>
      <c r="D195" s="54" t="s">
        <v>998</v>
      </c>
      <c r="E195" s="55" t="s">
        <v>690</v>
      </c>
      <c r="F195" s="56" t="str">
        <f t="shared" ref="F195:F258" si="3">CONCATENATE(A195,E195)</f>
        <v>060701702022025</v>
      </c>
      <c r="G195" s="54" t="s">
        <v>1045</v>
      </c>
      <c r="H195" s="54"/>
      <c r="I195" s="57"/>
    </row>
    <row r="196" spans="1:9" x14ac:dyDescent="0.2">
      <c r="A196" s="53" t="s">
        <v>371</v>
      </c>
      <c r="B196" s="54" t="s">
        <v>372</v>
      </c>
      <c r="C196" s="54" t="s">
        <v>1046</v>
      </c>
      <c r="D196" s="54" t="s">
        <v>989</v>
      </c>
      <c r="E196" s="55" t="s">
        <v>447</v>
      </c>
      <c r="F196" s="56" t="str">
        <f t="shared" si="3"/>
        <v>061700404012025</v>
      </c>
      <c r="G196" s="54" t="s">
        <v>990</v>
      </c>
      <c r="H196" s="54"/>
      <c r="I196" s="57"/>
    </row>
    <row r="197" spans="1:9" x14ac:dyDescent="0.2">
      <c r="A197" s="53" t="s">
        <v>371</v>
      </c>
      <c r="B197" s="54" t="s">
        <v>372</v>
      </c>
      <c r="C197" s="54" t="s">
        <v>1046</v>
      </c>
      <c r="D197" s="54" t="s">
        <v>991</v>
      </c>
      <c r="E197" s="55" t="s">
        <v>450</v>
      </c>
      <c r="F197" s="56" t="str">
        <f t="shared" si="3"/>
        <v>061700404022025</v>
      </c>
      <c r="G197" s="54" t="s">
        <v>992</v>
      </c>
      <c r="H197" s="54"/>
      <c r="I197" s="57"/>
    </row>
    <row r="198" spans="1:9" x14ac:dyDescent="0.2">
      <c r="A198" s="53" t="s">
        <v>371</v>
      </c>
      <c r="B198" s="54" t="s">
        <v>372</v>
      </c>
      <c r="C198" s="54" t="s">
        <v>1046</v>
      </c>
      <c r="D198" s="54" t="s">
        <v>993</v>
      </c>
      <c r="E198" s="55" t="s">
        <v>687</v>
      </c>
      <c r="F198" s="56" t="str">
        <f t="shared" si="3"/>
        <v>061700402012025</v>
      </c>
      <c r="G198" s="54" t="s">
        <v>992</v>
      </c>
      <c r="H198" s="54"/>
      <c r="I198" s="57"/>
    </row>
    <row r="199" spans="1:9" x14ac:dyDescent="0.2">
      <c r="A199" s="53" t="s">
        <v>371</v>
      </c>
      <c r="B199" s="54" t="s">
        <v>372</v>
      </c>
      <c r="C199" s="54" t="s">
        <v>1046</v>
      </c>
      <c r="D199" s="54" t="s">
        <v>994</v>
      </c>
      <c r="E199" s="55" t="s">
        <v>453</v>
      </c>
      <c r="F199" s="56" t="str">
        <f t="shared" si="3"/>
        <v>061700404032025</v>
      </c>
      <c r="G199" s="54" t="s">
        <v>1026</v>
      </c>
      <c r="H199" s="54"/>
      <c r="I199" s="57"/>
    </row>
    <row r="200" spans="1:9" x14ac:dyDescent="0.2">
      <c r="A200" s="53" t="s">
        <v>371</v>
      </c>
      <c r="B200" s="54" t="s">
        <v>372</v>
      </c>
      <c r="C200" s="54" t="s">
        <v>1046</v>
      </c>
      <c r="D200" s="54" t="s">
        <v>996</v>
      </c>
      <c r="E200" s="55" t="s">
        <v>457</v>
      </c>
      <c r="F200" s="56" t="str">
        <f t="shared" si="3"/>
        <v>061700404042025</v>
      </c>
      <c r="G200" s="54" t="s">
        <v>997</v>
      </c>
      <c r="H200" s="54"/>
      <c r="I200" s="57"/>
    </row>
    <row r="201" spans="1:9" x14ac:dyDescent="0.2">
      <c r="A201" s="53" t="s">
        <v>371</v>
      </c>
      <c r="B201" s="54" t="s">
        <v>372</v>
      </c>
      <c r="C201" s="54" t="s">
        <v>1046</v>
      </c>
      <c r="D201" s="54" t="s">
        <v>998</v>
      </c>
      <c r="E201" s="55" t="s">
        <v>690</v>
      </c>
      <c r="F201" s="56" t="str">
        <f t="shared" si="3"/>
        <v>061700402022025</v>
      </c>
      <c r="G201" s="54" t="s">
        <v>997</v>
      </c>
      <c r="H201" s="54"/>
      <c r="I201" s="57"/>
    </row>
    <row r="202" spans="1:9" x14ac:dyDescent="0.2">
      <c r="A202" s="53" t="s">
        <v>1047</v>
      </c>
      <c r="B202" s="54" t="s">
        <v>1048</v>
      </c>
      <c r="C202" s="54" t="s">
        <v>742</v>
      </c>
      <c r="D202" s="54" t="s">
        <v>989</v>
      </c>
      <c r="E202" s="55" t="s">
        <v>447</v>
      </c>
      <c r="F202" s="56" t="str">
        <f t="shared" si="3"/>
        <v>061001604012025</v>
      </c>
      <c r="G202" s="54" t="s">
        <v>546</v>
      </c>
      <c r="H202" s="54"/>
      <c r="I202" s="57"/>
    </row>
    <row r="203" spans="1:9" x14ac:dyDescent="0.2">
      <c r="A203" s="53" t="s">
        <v>1047</v>
      </c>
      <c r="B203" s="54" t="s">
        <v>1048</v>
      </c>
      <c r="C203" s="54" t="s">
        <v>742</v>
      </c>
      <c r="D203" s="54" t="s">
        <v>991</v>
      </c>
      <c r="E203" s="55" t="s">
        <v>450</v>
      </c>
      <c r="F203" s="56" t="str">
        <f t="shared" si="3"/>
        <v>061001604022025</v>
      </c>
      <c r="G203" s="54" t="s">
        <v>473</v>
      </c>
      <c r="H203" s="54"/>
      <c r="I203" s="57"/>
    </row>
    <row r="204" spans="1:9" x14ac:dyDescent="0.2">
      <c r="A204" s="53" t="s">
        <v>1047</v>
      </c>
      <c r="B204" s="54" t="s">
        <v>1048</v>
      </c>
      <c r="C204" s="54" t="s">
        <v>742</v>
      </c>
      <c r="D204" s="54" t="s">
        <v>993</v>
      </c>
      <c r="E204" s="55" t="s">
        <v>687</v>
      </c>
      <c r="F204" s="56" t="str">
        <f t="shared" si="3"/>
        <v>061001602012025</v>
      </c>
      <c r="G204" s="54" t="s">
        <v>473</v>
      </c>
      <c r="H204" s="54"/>
      <c r="I204" s="57"/>
    </row>
    <row r="205" spans="1:9" x14ac:dyDescent="0.2">
      <c r="A205" s="53" t="s">
        <v>1047</v>
      </c>
      <c r="B205" s="54" t="s">
        <v>1048</v>
      </c>
      <c r="C205" s="54" t="s">
        <v>742</v>
      </c>
      <c r="D205" s="54" t="s">
        <v>994</v>
      </c>
      <c r="E205" s="55" t="s">
        <v>453</v>
      </c>
      <c r="F205" s="56" t="str">
        <f t="shared" si="3"/>
        <v>061001604032025</v>
      </c>
      <c r="G205" s="54" t="s">
        <v>454</v>
      </c>
      <c r="H205" s="54"/>
      <c r="I205" s="57"/>
    </row>
    <row r="206" spans="1:9" x14ac:dyDescent="0.2">
      <c r="A206" s="53" t="s">
        <v>1047</v>
      </c>
      <c r="B206" s="54" t="s">
        <v>1048</v>
      </c>
      <c r="C206" s="54" t="s">
        <v>742</v>
      </c>
      <c r="D206" s="54" t="s">
        <v>996</v>
      </c>
      <c r="E206" s="55" t="s">
        <v>457</v>
      </c>
      <c r="F206" s="56" t="str">
        <f t="shared" si="3"/>
        <v>061001604042025</v>
      </c>
      <c r="G206" s="54" t="s">
        <v>458</v>
      </c>
      <c r="H206" s="54"/>
      <c r="I206" s="57"/>
    </row>
    <row r="207" spans="1:9" x14ac:dyDescent="0.2">
      <c r="A207" s="53" t="s">
        <v>1047</v>
      </c>
      <c r="B207" s="54" t="s">
        <v>1048</v>
      </c>
      <c r="C207" s="54" t="s">
        <v>742</v>
      </c>
      <c r="D207" s="54" t="s">
        <v>998</v>
      </c>
      <c r="E207" s="55" t="s">
        <v>690</v>
      </c>
      <c r="F207" s="56" t="str">
        <f t="shared" si="3"/>
        <v>061001602022025</v>
      </c>
      <c r="G207" s="54" t="s">
        <v>458</v>
      </c>
      <c r="H207" s="54"/>
      <c r="I207" s="57"/>
    </row>
    <row r="208" spans="1:9" x14ac:dyDescent="0.2">
      <c r="A208" s="53" t="s">
        <v>214</v>
      </c>
      <c r="B208" s="54" t="s">
        <v>1049</v>
      </c>
      <c r="C208" s="54" t="s">
        <v>1050</v>
      </c>
      <c r="D208" s="54" t="s">
        <v>989</v>
      </c>
      <c r="E208" s="55" t="s">
        <v>447</v>
      </c>
      <c r="F208" s="56" t="str">
        <f t="shared" si="3"/>
        <v>060802004012025</v>
      </c>
      <c r="G208" s="54" t="s">
        <v>990</v>
      </c>
      <c r="H208" s="54"/>
      <c r="I208" s="57"/>
    </row>
    <row r="209" spans="1:9" x14ac:dyDescent="0.2">
      <c r="A209" s="53" t="s">
        <v>214</v>
      </c>
      <c r="B209" s="54" t="s">
        <v>1049</v>
      </c>
      <c r="C209" s="54" t="s">
        <v>1050</v>
      </c>
      <c r="D209" s="54" t="s">
        <v>991</v>
      </c>
      <c r="E209" s="55" t="s">
        <v>450</v>
      </c>
      <c r="F209" s="56" t="str">
        <f t="shared" si="3"/>
        <v>060802004022025</v>
      </c>
      <c r="G209" s="54" t="s">
        <v>992</v>
      </c>
      <c r="H209" s="54"/>
      <c r="I209" s="57"/>
    </row>
    <row r="210" spans="1:9" x14ac:dyDescent="0.2">
      <c r="A210" s="53" t="s">
        <v>214</v>
      </c>
      <c r="B210" s="54" t="s">
        <v>1049</v>
      </c>
      <c r="C210" s="54" t="s">
        <v>1050</v>
      </c>
      <c r="D210" s="54" t="s">
        <v>993</v>
      </c>
      <c r="E210" s="55" t="s">
        <v>687</v>
      </c>
      <c r="F210" s="56" t="str">
        <f t="shared" si="3"/>
        <v>060802002012025</v>
      </c>
      <c r="G210" s="54" t="s">
        <v>992</v>
      </c>
      <c r="H210" s="54"/>
      <c r="I210" s="57"/>
    </row>
    <row r="211" spans="1:9" x14ac:dyDescent="0.2">
      <c r="A211" s="53" t="s">
        <v>214</v>
      </c>
      <c r="B211" s="54" t="s">
        <v>1049</v>
      </c>
      <c r="C211" s="54" t="s">
        <v>1050</v>
      </c>
      <c r="D211" s="54" t="s">
        <v>994</v>
      </c>
      <c r="E211" s="55" t="s">
        <v>453</v>
      </c>
      <c r="F211" s="56" t="str">
        <f t="shared" si="3"/>
        <v>060802004032025</v>
      </c>
      <c r="G211" s="54" t="s">
        <v>1040</v>
      </c>
      <c r="H211" s="54"/>
      <c r="I211" s="57"/>
    </row>
    <row r="212" spans="1:9" x14ac:dyDescent="0.2">
      <c r="A212" s="53" t="s">
        <v>214</v>
      </c>
      <c r="B212" s="54" t="s">
        <v>1049</v>
      </c>
      <c r="C212" s="54" t="s">
        <v>1050</v>
      </c>
      <c r="D212" s="54" t="s">
        <v>996</v>
      </c>
      <c r="E212" s="55" t="s">
        <v>457</v>
      </c>
      <c r="F212" s="56" t="str">
        <f t="shared" si="3"/>
        <v>060802004042025</v>
      </c>
      <c r="G212" s="54" t="s">
        <v>997</v>
      </c>
      <c r="H212" s="54"/>
      <c r="I212" s="57"/>
    </row>
    <row r="213" spans="1:9" x14ac:dyDescent="0.2">
      <c r="A213" s="53" t="s">
        <v>214</v>
      </c>
      <c r="B213" s="54" t="s">
        <v>1049</v>
      </c>
      <c r="C213" s="54" t="s">
        <v>1050</v>
      </c>
      <c r="D213" s="54" t="s">
        <v>998</v>
      </c>
      <c r="E213" s="55" t="s">
        <v>690</v>
      </c>
      <c r="F213" s="56" t="str">
        <f t="shared" si="3"/>
        <v>060802002022025</v>
      </c>
      <c r="G213" s="54" t="s">
        <v>997</v>
      </c>
      <c r="H213" s="54"/>
      <c r="I213" s="57"/>
    </row>
    <row r="214" spans="1:9" x14ac:dyDescent="0.2">
      <c r="A214" s="53" t="s">
        <v>178</v>
      </c>
      <c r="B214" s="54" t="s">
        <v>179</v>
      </c>
      <c r="C214" s="54" t="s">
        <v>1051</v>
      </c>
      <c r="D214" s="54" t="s">
        <v>989</v>
      </c>
      <c r="E214" s="55" t="s">
        <v>447</v>
      </c>
      <c r="F214" s="56" t="str">
        <f t="shared" si="3"/>
        <v>060801204012025</v>
      </c>
      <c r="G214" s="54" t="s">
        <v>990</v>
      </c>
      <c r="H214" s="54"/>
      <c r="I214" s="57"/>
    </row>
    <row r="215" spans="1:9" x14ac:dyDescent="0.2">
      <c r="A215" s="53" t="s">
        <v>178</v>
      </c>
      <c r="B215" s="54" t="s">
        <v>179</v>
      </c>
      <c r="C215" s="54" t="s">
        <v>1051</v>
      </c>
      <c r="D215" s="54" t="s">
        <v>991</v>
      </c>
      <c r="E215" s="55" t="s">
        <v>450</v>
      </c>
      <c r="F215" s="56" t="str">
        <f t="shared" si="3"/>
        <v>060801204022025</v>
      </c>
      <c r="G215" s="54" t="s">
        <v>1025</v>
      </c>
      <c r="H215" s="54"/>
      <c r="I215" s="57"/>
    </row>
    <row r="216" spans="1:9" x14ac:dyDescent="0.2">
      <c r="A216" s="53" t="s">
        <v>178</v>
      </c>
      <c r="B216" s="54" t="s">
        <v>179</v>
      </c>
      <c r="C216" s="54" t="s">
        <v>1051</v>
      </c>
      <c r="D216" s="54" t="s">
        <v>993</v>
      </c>
      <c r="E216" s="55" t="s">
        <v>687</v>
      </c>
      <c r="F216" s="56" t="str">
        <f t="shared" si="3"/>
        <v>060801202012025</v>
      </c>
      <c r="G216" s="54" t="s">
        <v>1025</v>
      </c>
      <c r="H216" s="54"/>
      <c r="I216" s="57"/>
    </row>
    <row r="217" spans="1:9" x14ac:dyDescent="0.2">
      <c r="A217" s="53" t="s">
        <v>178</v>
      </c>
      <c r="B217" s="54" t="s">
        <v>179</v>
      </c>
      <c r="C217" s="54" t="s">
        <v>1051</v>
      </c>
      <c r="D217" s="54" t="s">
        <v>994</v>
      </c>
      <c r="E217" s="55" t="s">
        <v>453</v>
      </c>
      <c r="F217" s="56" t="str">
        <f t="shared" si="3"/>
        <v>060801204032025</v>
      </c>
      <c r="G217" s="54" t="s">
        <v>1026</v>
      </c>
      <c r="H217" s="54"/>
      <c r="I217" s="57"/>
    </row>
    <row r="218" spans="1:9" x14ac:dyDescent="0.2">
      <c r="A218" s="53" t="s">
        <v>178</v>
      </c>
      <c r="B218" s="54" t="s">
        <v>179</v>
      </c>
      <c r="C218" s="54" t="s">
        <v>1051</v>
      </c>
      <c r="D218" s="54" t="s">
        <v>996</v>
      </c>
      <c r="E218" s="55" t="s">
        <v>457</v>
      </c>
      <c r="F218" s="56" t="str">
        <f t="shared" si="3"/>
        <v>060801204042025</v>
      </c>
      <c r="G218" s="54" t="s">
        <v>1027</v>
      </c>
      <c r="H218" s="54"/>
      <c r="I218" s="57"/>
    </row>
    <row r="219" spans="1:9" x14ac:dyDescent="0.2">
      <c r="A219" s="53" t="s">
        <v>178</v>
      </c>
      <c r="B219" s="54" t="s">
        <v>179</v>
      </c>
      <c r="C219" s="54" t="s">
        <v>1051</v>
      </c>
      <c r="D219" s="54" t="s">
        <v>998</v>
      </c>
      <c r="E219" s="55" t="s">
        <v>690</v>
      </c>
      <c r="F219" s="56" t="str">
        <f t="shared" si="3"/>
        <v>060801202022025</v>
      </c>
      <c r="G219" s="54" t="s">
        <v>1027</v>
      </c>
      <c r="H219" s="54"/>
      <c r="I219" s="57"/>
    </row>
    <row r="220" spans="1:9" ht="25.5" x14ac:dyDescent="0.2">
      <c r="A220" s="53" t="s">
        <v>257</v>
      </c>
      <c r="B220" s="54" t="s">
        <v>1052</v>
      </c>
      <c r="C220" s="54" t="s">
        <v>1053</v>
      </c>
      <c r="D220" s="54" t="s">
        <v>989</v>
      </c>
      <c r="E220" s="55" t="s">
        <v>447</v>
      </c>
      <c r="F220" s="56" t="str">
        <f t="shared" si="3"/>
        <v>060401204012025</v>
      </c>
      <c r="G220" s="54" t="s">
        <v>990</v>
      </c>
      <c r="H220" s="54"/>
      <c r="I220" s="57"/>
    </row>
    <row r="221" spans="1:9" ht="25.5" x14ac:dyDescent="0.2">
      <c r="A221" s="53" t="s">
        <v>257</v>
      </c>
      <c r="B221" s="54" t="s">
        <v>1052</v>
      </c>
      <c r="C221" s="54" t="s">
        <v>1053</v>
      </c>
      <c r="D221" s="54" t="s">
        <v>991</v>
      </c>
      <c r="E221" s="55" t="s">
        <v>450</v>
      </c>
      <c r="F221" s="56" t="str">
        <f t="shared" si="3"/>
        <v>060401204022025</v>
      </c>
      <c r="G221" s="54" t="s">
        <v>1054</v>
      </c>
      <c r="H221" s="54"/>
      <c r="I221" s="57"/>
    </row>
    <row r="222" spans="1:9" ht="25.5" x14ac:dyDescent="0.2">
      <c r="A222" s="53" t="s">
        <v>257</v>
      </c>
      <c r="B222" s="54" t="s">
        <v>1052</v>
      </c>
      <c r="C222" s="54" t="s">
        <v>1053</v>
      </c>
      <c r="D222" s="54" t="s">
        <v>993</v>
      </c>
      <c r="E222" s="55" t="s">
        <v>687</v>
      </c>
      <c r="F222" s="56" t="str">
        <f t="shared" si="3"/>
        <v>060401202012025</v>
      </c>
      <c r="G222" s="54" t="s">
        <v>1054</v>
      </c>
      <c r="H222" s="54"/>
      <c r="I222" s="57"/>
    </row>
    <row r="223" spans="1:9" ht="25.5" x14ac:dyDescent="0.2">
      <c r="A223" s="53" t="s">
        <v>257</v>
      </c>
      <c r="B223" s="54" t="s">
        <v>1052</v>
      </c>
      <c r="C223" s="54" t="s">
        <v>1053</v>
      </c>
      <c r="D223" s="54" t="s">
        <v>994</v>
      </c>
      <c r="E223" s="55" t="s">
        <v>453</v>
      </c>
      <c r="F223" s="56" t="str">
        <f t="shared" si="3"/>
        <v>060401204032025</v>
      </c>
      <c r="G223" s="54" t="s">
        <v>995</v>
      </c>
      <c r="H223" s="54"/>
      <c r="I223" s="57"/>
    </row>
    <row r="224" spans="1:9" ht="25.5" x14ac:dyDescent="0.2">
      <c r="A224" s="53" t="s">
        <v>257</v>
      </c>
      <c r="B224" s="54" t="s">
        <v>1052</v>
      </c>
      <c r="C224" s="54" t="s">
        <v>1053</v>
      </c>
      <c r="D224" s="54" t="s">
        <v>996</v>
      </c>
      <c r="E224" s="55" t="s">
        <v>457</v>
      </c>
      <c r="F224" s="56" t="str">
        <f t="shared" si="3"/>
        <v>060401204042025</v>
      </c>
      <c r="G224" s="54" t="s">
        <v>1019</v>
      </c>
      <c r="H224" s="54"/>
      <c r="I224" s="57"/>
    </row>
    <row r="225" spans="1:9" ht="25.5" x14ac:dyDescent="0.2">
      <c r="A225" s="53" t="s">
        <v>257</v>
      </c>
      <c r="B225" s="54" t="s">
        <v>1052</v>
      </c>
      <c r="C225" s="54" t="s">
        <v>1053</v>
      </c>
      <c r="D225" s="54" t="s">
        <v>998</v>
      </c>
      <c r="E225" s="55" t="s">
        <v>690</v>
      </c>
      <c r="F225" s="56" t="str">
        <f t="shared" si="3"/>
        <v>060401202022025</v>
      </c>
      <c r="G225" s="54" t="s">
        <v>1019</v>
      </c>
      <c r="H225" s="54"/>
      <c r="I225" s="57"/>
    </row>
    <row r="226" spans="1:9" x14ac:dyDescent="0.2">
      <c r="A226" s="53" t="s">
        <v>249</v>
      </c>
      <c r="B226" s="54" t="s">
        <v>250</v>
      </c>
      <c r="C226" s="54" t="s">
        <v>791</v>
      </c>
      <c r="D226" s="54" t="s">
        <v>989</v>
      </c>
      <c r="E226" s="55" t="s">
        <v>447</v>
      </c>
      <c r="F226" s="56" t="str">
        <f t="shared" si="3"/>
        <v>060601004012025</v>
      </c>
      <c r="G226" s="54" t="s">
        <v>990</v>
      </c>
      <c r="H226" s="54"/>
      <c r="I226" s="57"/>
    </row>
    <row r="227" spans="1:9" x14ac:dyDescent="0.2">
      <c r="A227" s="53" t="s">
        <v>249</v>
      </c>
      <c r="B227" s="54" t="s">
        <v>250</v>
      </c>
      <c r="C227" s="54" t="s">
        <v>791</v>
      </c>
      <c r="D227" s="54" t="s">
        <v>991</v>
      </c>
      <c r="E227" s="55" t="s">
        <v>450</v>
      </c>
      <c r="F227" s="56" t="str">
        <f t="shared" si="3"/>
        <v>060601004022025</v>
      </c>
      <c r="G227" s="54" t="s">
        <v>992</v>
      </c>
      <c r="H227" s="54"/>
      <c r="I227" s="57"/>
    </row>
    <row r="228" spans="1:9" x14ac:dyDescent="0.2">
      <c r="A228" s="53" t="s">
        <v>249</v>
      </c>
      <c r="B228" s="54" t="s">
        <v>250</v>
      </c>
      <c r="C228" s="54" t="s">
        <v>791</v>
      </c>
      <c r="D228" s="54" t="s">
        <v>993</v>
      </c>
      <c r="E228" s="55" t="s">
        <v>687</v>
      </c>
      <c r="F228" s="56" t="str">
        <f t="shared" si="3"/>
        <v>060601002012025</v>
      </c>
      <c r="G228" s="54" t="s">
        <v>992</v>
      </c>
      <c r="H228" s="54"/>
      <c r="I228" s="57"/>
    </row>
    <row r="229" spans="1:9" x14ac:dyDescent="0.2">
      <c r="A229" s="53" t="s">
        <v>249</v>
      </c>
      <c r="B229" s="54" t="s">
        <v>250</v>
      </c>
      <c r="C229" s="54" t="s">
        <v>791</v>
      </c>
      <c r="D229" s="54" t="s">
        <v>994</v>
      </c>
      <c r="E229" s="55" t="s">
        <v>453</v>
      </c>
      <c r="F229" s="56" t="str">
        <f t="shared" si="3"/>
        <v>060601004032025</v>
      </c>
      <c r="G229" s="54" t="s">
        <v>995</v>
      </c>
      <c r="H229" s="54"/>
      <c r="I229" s="57"/>
    </row>
    <row r="230" spans="1:9" x14ac:dyDescent="0.2">
      <c r="A230" s="53" t="s">
        <v>249</v>
      </c>
      <c r="B230" s="54" t="s">
        <v>250</v>
      </c>
      <c r="C230" s="54" t="s">
        <v>791</v>
      </c>
      <c r="D230" s="54" t="s">
        <v>996</v>
      </c>
      <c r="E230" s="55" t="s">
        <v>457</v>
      </c>
      <c r="F230" s="56" t="str">
        <f t="shared" si="3"/>
        <v>060601004042025</v>
      </c>
      <c r="G230" s="54" t="s">
        <v>1019</v>
      </c>
      <c r="H230" s="54"/>
      <c r="I230" s="57"/>
    </row>
    <row r="231" spans="1:9" x14ac:dyDescent="0.2">
      <c r="A231" s="53" t="s">
        <v>249</v>
      </c>
      <c r="B231" s="54" t="s">
        <v>250</v>
      </c>
      <c r="C231" s="54" t="s">
        <v>791</v>
      </c>
      <c r="D231" s="54" t="s">
        <v>998</v>
      </c>
      <c r="E231" s="55" t="s">
        <v>690</v>
      </c>
      <c r="F231" s="56" t="str">
        <f t="shared" si="3"/>
        <v>060601002022025</v>
      </c>
      <c r="G231" s="54" t="s">
        <v>1019</v>
      </c>
      <c r="H231" s="54"/>
      <c r="I231" s="57"/>
    </row>
    <row r="232" spans="1:9" x14ac:dyDescent="0.2">
      <c r="A232" s="53" t="s">
        <v>193</v>
      </c>
      <c r="B232" s="54" t="s">
        <v>194</v>
      </c>
      <c r="C232" s="54" t="s">
        <v>1055</v>
      </c>
      <c r="D232" s="54" t="s">
        <v>989</v>
      </c>
      <c r="E232" s="55" t="s">
        <v>447</v>
      </c>
      <c r="F232" s="56" t="str">
        <f t="shared" si="3"/>
        <v>060602804012025</v>
      </c>
      <c r="G232" s="54" t="s">
        <v>990</v>
      </c>
      <c r="H232" s="54"/>
      <c r="I232" s="57"/>
    </row>
    <row r="233" spans="1:9" x14ac:dyDescent="0.2">
      <c r="A233" s="53" t="s">
        <v>193</v>
      </c>
      <c r="B233" s="54" t="s">
        <v>194</v>
      </c>
      <c r="C233" s="54" t="s">
        <v>1055</v>
      </c>
      <c r="D233" s="54" t="s">
        <v>991</v>
      </c>
      <c r="E233" s="55" t="s">
        <v>450</v>
      </c>
      <c r="F233" s="56" t="str">
        <f t="shared" si="3"/>
        <v>060602804022025</v>
      </c>
      <c r="G233" s="54" t="s">
        <v>992</v>
      </c>
      <c r="H233" s="54"/>
      <c r="I233" s="57"/>
    </row>
    <row r="234" spans="1:9" x14ac:dyDescent="0.2">
      <c r="A234" s="53" t="s">
        <v>193</v>
      </c>
      <c r="B234" s="54" t="s">
        <v>194</v>
      </c>
      <c r="C234" s="54" t="s">
        <v>1055</v>
      </c>
      <c r="D234" s="54" t="s">
        <v>993</v>
      </c>
      <c r="E234" s="55" t="s">
        <v>687</v>
      </c>
      <c r="F234" s="56" t="str">
        <f t="shared" si="3"/>
        <v>060602802012025</v>
      </c>
      <c r="G234" s="54" t="s">
        <v>992</v>
      </c>
      <c r="H234" s="54"/>
      <c r="I234" s="57"/>
    </row>
    <row r="235" spans="1:9" x14ac:dyDescent="0.2">
      <c r="A235" s="53" t="s">
        <v>193</v>
      </c>
      <c r="B235" s="54" t="s">
        <v>194</v>
      </c>
      <c r="C235" s="54" t="s">
        <v>1055</v>
      </c>
      <c r="D235" s="54" t="s">
        <v>994</v>
      </c>
      <c r="E235" s="55" t="s">
        <v>453</v>
      </c>
      <c r="F235" s="56" t="str">
        <f t="shared" si="3"/>
        <v>060602804032025</v>
      </c>
      <c r="G235" s="54" t="s">
        <v>995</v>
      </c>
      <c r="H235" s="54"/>
      <c r="I235" s="57"/>
    </row>
    <row r="236" spans="1:9" x14ac:dyDescent="0.2">
      <c r="A236" s="53" t="s">
        <v>193</v>
      </c>
      <c r="B236" s="54" t="s">
        <v>194</v>
      </c>
      <c r="C236" s="54" t="s">
        <v>1055</v>
      </c>
      <c r="D236" s="54" t="s">
        <v>996</v>
      </c>
      <c r="E236" s="55" t="s">
        <v>457</v>
      </c>
      <c r="F236" s="56" t="str">
        <f t="shared" si="3"/>
        <v>060602804042025</v>
      </c>
      <c r="G236" s="54" t="s">
        <v>1056</v>
      </c>
      <c r="H236" s="54"/>
      <c r="I236" s="57"/>
    </row>
    <row r="237" spans="1:9" x14ac:dyDescent="0.2">
      <c r="A237" s="53" t="s">
        <v>193</v>
      </c>
      <c r="B237" s="54" t="s">
        <v>194</v>
      </c>
      <c r="C237" s="54" t="s">
        <v>1055</v>
      </c>
      <c r="D237" s="54" t="s">
        <v>998</v>
      </c>
      <c r="E237" s="55" t="s">
        <v>690</v>
      </c>
      <c r="F237" s="56" t="str">
        <f t="shared" si="3"/>
        <v>060602802022025</v>
      </c>
      <c r="G237" s="54" t="s">
        <v>1056</v>
      </c>
      <c r="H237" s="54"/>
      <c r="I237" s="57"/>
    </row>
    <row r="238" spans="1:9" ht="38.25" x14ac:dyDescent="0.2">
      <c r="A238" s="53" t="s">
        <v>204</v>
      </c>
      <c r="B238" s="54" t="s">
        <v>205</v>
      </c>
      <c r="C238" s="54" t="s">
        <v>1057</v>
      </c>
      <c r="D238" s="54" t="s">
        <v>991</v>
      </c>
      <c r="E238" s="55" t="s">
        <v>450</v>
      </c>
      <c r="F238" s="56" t="str">
        <f t="shared" si="3"/>
        <v>060302304022025</v>
      </c>
      <c r="G238" s="54" t="s">
        <v>1058</v>
      </c>
      <c r="H238" s="54"/>
      <c r="I238" s="57"/>
    </row>
    <row r="239" spans="1:9" ht="38.25" x14ac:dyDescent="0.2">
      <c r="A239" s="53" t="s">
        <v>204</v>
      </c>
      <c r="B239" s="54" t="s">
        <v>205</v>
      </c>
      <c r="C239" s="54" t="s">
        <v>1057</v>
      </c>
      <c r="D239" s="54" t="s">
        <v>993</v>
      </c>
      <c r="E239" s="55" t="s">
        <v>687</v>
      </c>
      <c r="F239" s="56" t="str">
        <f t="shared" si="3"/>
        <v>060302302012025</v>
      </c>
      <c r="G239" s="54" t="s">
        <v>1058</v>
      </c>
      <c r="H239" s="54"/>
      <c r="I239" s="57"/>
    </row>
    <row r="240" spans="1:9" ht="38.25" x14ac:dyDescent="0.2">
      <c r="A240" s="53" t="s">
        <v>204</v>
      </c>
      <c r="B240" s="54" t="s">
        <v>205</v>
      </c>
      <c r="C240" s="54" t="s">
        <v>1057</v>
      </c>
      <c r="D240" s="54" t="s">
        <v>996</v>
      </c>
      <c r="E240" s="55" t="s">
        <v>457</v>
      </c>
      <c r="F240" s="56" t="str">
        <f t="shared" si="3"/>
        <v>060302304042025</v>
      </c>
      <c r="G240" s="54" t="s">
        <v>1059</v>
      </c>
      <c r="H240" s="54"/>
      <c r="I240" s="57"/>
    </row>
    <row r="241" spans="1:9" ht="38.25" x14ac:dyDescent="0.2">
      <c r="A241" s="53" t="s">
        <v>204</v>
      </c>
      <c r="B241" s="54" t="s">
        <v>205</v>
      </c>
      <c r="C241" s="54" t="s">
        <v>1057</v>
      </c>
      <c r="D241" s="54" t="s">
        <v>998</v>
      </c>
      <c r="E241" s="55" t="s">
        <v>690</v>
      </c>
      <c r="F241" s="56" t="str">
        <f t="shared" si="3"/>
        <v>060302302022025</v>
      </c>
      <c r="G241" s="54" t="s">
        <v>1059</v>
      </c>
      <c r="H241" s="54"/>
      <c r="I241" s="57"/>
    </row>
    <row r="242" spans="1:9" x14ac:dyDescent="0.2">
      <c r="A242" s="53" t="s">
        <v>1060</v>
      </c>
      <c r="B242" s="54" t="s">
        <v>1061</v>
      </c>
      <c r="C242" s="54" t="s">
        <v>1062</v>
      </c>
      <c r="D242" s="54" t="s">
        <v>989</v>
      </c>
      <c r="E242" s="55" t="s">
        <v>447</v>
      </c>
      <c r="F242" s="56" t="str">
        <f t="shared" si="3"/>
        <v>061518104012025</v>
      </c>
      <c r="G242" s="54" t="s">
        <v>978</v>
      </c>
      <c r="H242" s="54"/>
      <c r="I242" s="57"/>
    </row>
    <row r="243" spans="1:9" x14ac:dyDescent="0.2">
      <c r="A243" s="53" t="s">
        <v>1060</v>
      </c>
      <c r="B243" s="54" t="s">
        <v>1061</v>
      </c>
      <c r="C243" s="54" t="s">
        <v>1062</v>
      </c>
      <c r="D243" s="54" t="s">
        <v>991</v>
      </c>
      <c r="E243" s="55" t="s">
        <v>450</v>
      </c>
      <c r="F243" s="56" t="str">
        <f t="shared" si="3"/>
        <v>061518104022025</v>
      </c>
      <c r="G243" s="54" t="s">
        <v>1025</v>
      </c>
      <c r="H243" s="54"/>
      <c r="I243" s="57"/>
    </row>
    <row r="244" spans="1:9" x14ac:dyDescent="0.2">
      <c r="A244" s="53" t="s">
        <v>1060</v>
      </c>
      <c r="B244" s="54" t="s">
        <v>1061</v>
      </c>
      <c r="C244" s="54" t="s">
        <v>1062</v>
      </c>
      <c r="D244" s="54" t="s">
        <v>993</v>
      </c>
      <c r="E244" s="55" t="s">
        <v>687</v>
      </c>
      <c r="F244" s="56" t="str">
        <f t="shared" si="3"/>
        <v>061518102012025</v>
      </c>
      <c r="G244" s="54" t="s">
        <v>1025</v>
      </c>
      <c r="H244" s="54"/>
      <c r="I244" s="57"/>
    </row>
    <row r="245" spans="1:9" x14ac:dyDescent="0.2">
      <c r="A245" s="53" t="s">
        <v>1060</v>
      </c>
      <c r="B245" s="54" t="s">
        <v>1061</v>
      </c>
      <c r="C245" s="54" t="s">
        <v>1062</v>
      </c>
      <c r="D245" s="54" t="s">
        <v>994</v>
      </c>
      <c r="E245" s="55" t="s">
        <v>453</v>
      </c>
      <c r="F245" s="56" t="str">
        <f t="shared" si="3"/>
        <v>061518104032025</v>
      </c>
      <c r="G245" s="54" t="s">
        <v>1040</v>
      </c>
      <c r="H245" s="54"/>
      <c r="I245" s="57"/>
    </row>
    <row r="246" spans="1:9" x14ac:dyDescent="0.2">
      <c r="A246" s="53" t="s">
        <v>1060</v>
      </c>
      <c r="B246" s="54" t="s">
        <v>1061</v>
      </c>
      <c r="C246" s="54" t="s">
        <v>1062</v>
      </c>
      <c r="D246" s="54" t="s">
        <v>996</v>
      </c>
      <c r="E246" s="55" t="s">
        <v>457</v>
      </c>
      <c r="F246" s="56" t="str">
        <f t="shared" si="3"/>
        <v>061518104042025</v>
      </c>
      <c r="G246" s="54" t="s">
        <v>1027</v>
      </c>
      <c r="H246" s="54"/>
      <c r="I246" s="57"/>
    </row>
    <row r="247" spans="1:9" x14ac:dyDescent="0.2">
      <c r="A247" s="53" t="s">
        <v>1060</v>
      </c>
      <c r="B247" s="54" t="s">
        <v>1061</v>
      </c>
      <c r="C247" s="54" t="s">
        <v>1062</v>
      </c>
      <c r="D247" s="54" t="s">
        <v>998</v>
      </c>
      <c r="E247" s="55" t="s">
        <v>690</v>
      </c>
      <c r="F247" s="56" t="str">
        <f t="shared" si="3"/>
        <v>061518102022025</v>
      </c>
      <c r="G247" s="54" t="s">
        <v>1027</v>
      </c>
      <c r="H247" s="54"/>
      <c r="I247" s="57"/>
    </row>
    <row r="248" spans="1:9" x14ac:dyDescent="0.2">
      <c r="A248" s="53" t="s">
        <v>1063</v>
      </c>
      <c r="B248" s="54" t="s">
        <v>1064</v>
      </c>
      <c r="C248" s="54" t="s">
        <v>1065</v>
      </c>
      <c r="D248" s="54" t="s">
        <v>989</v>
      </c>
      <c r="E248" s="55" t="s">
        <v>447</v>
      </c>
      <c r="F248" s="56" t="str">
        <f t="shared" si="3"/>
        <v>061513104012025</v>
      </c>
      <c r="G248" s="54" t="s">
        <v>990</v>
      </c>
      <c r="H248" s="54"/>
      <c r="I248" s="57"/>
    </row>
    <row r="249" spans="1:9" ht="25.5" x14ac:dyDescent="0.2">
      <c r="A249" s="53" t="s">
        <v>1063</v>
      </c>
      <c r="B249" s="54" t="s">
        <v>1064</v>
      </c>
      <c r="C249" s="54" t="s">
        <v>1065</v>
      </c>
      <c r="D249" s="54" t="s">
        <v>991</v>
      </c>
      <c r="E249" s="55" t="s">
        <v>450</v>
      </c>
      <c r="F249" s="56" t="str">
        <f t="shared" si="3"/>
        <v>061513104022025</v>
      </c>
      <c r="G249" s="54" t="s">
        <v>1058</v>
      </c>
      <c r="H249" s="54"/>
      <c r="I249" s="57"/>
    </row>
    <row r="250" spans="1:9" ht="25.5" x14ac:dyDescent="0.2">
      <c r="A250" s="53" t="s">
        <v>1063</v>
      </c>
      <c r="B250" s="54" t="s">
        <v>1064</v>
      </c>
      <c r="C250" s="54" t="s">
        <v>1065</v>
      </c>
      <c r="D250" s="54" t="s">
        <v>993</v>
      </c>
      <c r="E250" s="55" t="s">
        <v>687</v>
      </c>
      <c r="F250" s="56" t="str">
        <f t="shared" si="3"/>
        <v>061513102012025</v>
      </c>
      <c r="G250" s="54" t="s">
        <v>1058</v>
      </c>
      <c r="H250" s="54"/>
      <c r="I250" s="57"/>
    </row>
    <row r="251" spans="1:9" ht="25.5" x14ac:dyDescent="0.2">
      <c r="A251" s="53" t="s">
        <v>1063</v>
      </c>
      <c r="B251" s="54" t="s">
        <v>1064</v>
      </c>
      <c r="C251" s="54" t="s">
        <v>1065</v>
      </c>
      <c r="D251" s="54" t="s">
        <v>994</v>
      </c>
      <c r="E251" s="55" t="s">
        <v>453</v>
      </c>
      <c r="F251" s="56" t="str">
        <f t="shared" si="3"/>
        <v>061513104032025</v>
      </c>
      <c r="G251" s="54" t="s">
        <v>1066</v>
      </c>
      <c r="H251" s="54"/>
      <c r="I251" s="57"/>
    </row>
    <row r="252" spans="1:9" ht="25.5" x14ac:dyDescent="0.2">
      <c r="A252" s="53" t="s">
        <v>1063</v>
      </c>
      <c r="B252" s="54" t="s">
        <v>1064</v>
      </c>
      <c r="C252" s="54" t="s">
        <v>1065</v>
      </c>
      <c r="D252" s="54" t="s">
        <v>996</v>
      </c>
      <c r="E252" s="55" t="s">
        <v>457</v>
      </c>
      <c r="F252" s="56" t="str">
        <f t="shared" si="3"/>
        <v>061513104042025</v>
      </c>
      <c r="G252" s="54" t="s">
        <v>1059</v>
      </c>
      <c r="H252" s="54"/>
      <c r="I252" s="57"/>
    </row>
    <row r="253" spans="1:9" ht="25.5" x14ac:dyDescent="0.2">
      <c r="A253" s="53" t="s">
        <v>1063</v>
      </c>
      <c r="B253" s="54" t="s">
        <v>1064</v>
      </c>
      <c r="C253" s="54" t="s">
        <v>1065</v>
      </c>
      <c r="D253" s="54" t="s">
        <v>998</v>
      </c>
      <c r="E253" s="55" t="s">
        <v>690</v>
      </c>
      <c r="F253" s="56" t="str">
        <f t="shared" si="3"/>
        <v>061513102022025</v>
      </c>
      <c r="G253" s="54" t="s">
        <v>1059</v>
      </c>
      <c r="H253" s="54"/>
      <c r="I253" s="57"/>
    </row>
    <row r="254" spans="1:9" ht="25.5" x14ac:dyDescent="0.2">
      <c r="A254" s="53" t="s">
        <v>1067</v>
      </c>
      <c r="B254" s="54" t="s">
        <v>1068</v>
      </c>
      <c r="C254" s="54" t="s">
        <v>1069</v>
      </c>
      <c r="D254" s="54" t="s">
        <v>989</v>
      </c>
      <c r="E254" s="55" t="s">
        <v>447</v>
      </c>
      <c r="F254" s="56" t="str">
        <f t="shared" si="3"/>
        <v>061513204012025</v>
      </c>
      <c r="G254" s="54" t="s">
        <v>990</v>
      </c>
      <c r="H254" s="54"/>
      <c r="I254" s="57"/>
    </row>
    <row r="255" spans="1:9" ht="25.5" x14ac:dyDescent="0.2">
      <c r="A255" s="53" t="s">
        <v>1067</v>
      </c>
      <c r="B255" s="54" t="s">
        <v>1068</v>
      </c>
      <c r="C255" s="54" t="s">
        <v>1069</v>
      </c>
      <c r="D255" s="54" t="s">
        <v>991</v>
      </c>
      <c r="E255" s="55" t="s">
        <v>450</v>
      </c>
      <c r="F255" s="56" t="str">
        <f t="shared" si="3"/>
        <v>061513204022025</v>
      </c>
      <c r="G255" s="54" t="s">
        <v>1058</v>
      </c>
      <c r="H255" s="54"/>
      <c r="I255" s="57"/>
    </row>
    <row r="256" spans="1:9" ht="25.5" x14ac:dyDescent="0.2">
      <c r="A256" s="53" t="s">
        <v>1067</v>
      </c>
      <c r="B256" s="54" t="s">
        <v>1068</v>
      </c>
      <c r="C256" s="54" t="s">
        <v>1069</v>
      </c>
      <c r="D256" s="54" t="s">
        <v>993</v>
      </c>
      <c r="E256" s="55" t="s">
        <v>687</v>
      </c>
      <c r="F256" s="56" t="str">
        <f t="shared" si="3"/>
        <v>061513202012025</v>
      </c>
      <c r="G256" s="54" t="s">
        <v>1058</v>
      </c>
      <c r="H256" s="54"/>
      <c r="I256" s="57"/>
    </row>
    <row r="257" spans="1:9" ht="25.5" x14ac:dyDescent="0.2">
      <c r="A257" s="53" t="s">
        <v>1067</v>
      </c>
      <c r="B257" s="54" t="s">
        <v>1068</v>
      </c>
      <c r="C257" s="54" t="s">
        <v>1069</v>
      </c>
      <c r="D257" s="54" t="s">
        <v>994</v>
      </c>
      <c r="E257" s="55" t="s">
        <v>453</v>
      </c>
      <c r="F257" s="56" t="str">
        <f t="shared" si="3"/>
        <v>061513204032025</v>
      </c>
      <c r="G257" s="54" t="s">
        <v>1066</v>
      </c>
      <c r="H257" s="54"/>
      <c r="I257" s="57"/>
    </row>
    <row r="258" spans="1:9" ht="25.5" x14ac:dyDescent="0.2">
      <c r="A258" s="53" t="s">
        <v>1067</v>
      </c>
      <c r="B258" s="54" t="s">
        <v>1068</v>
      </c>
      <c r="C258" s="54" t="s">
        <v>1069</v>
      </c>
      <c r="D258" s="54" t="s">
        <v>996</v>
      </c>
      <c r="E258" s="55" t="s">
        <v>457</v>
      </c>
      <c r="F258" s="56" t="str">
        <f t="shared" si="3"/>
        <v>061513204042025</v>
      </c>
      <c r="G258" s="54" t="s">
        <v>1059</v>
      </c>
      <c r="H258" s="54"/>
      <c r="I258" s="57"/>
    </row>
    <row r="259" spans="1:9" ht="25.5" x14ac:dyDescent="0.2">
      <c r="A259" s="53" t="s">
        <v>1067</v>
      </c>
      <c r="B259" s="54" t="s">
        <v>1068</v>
      </c>
      <c r="C259" s="54" t="s">
        <v>1069</v>
      </c>
      <c r="D259" s="54" t="s">
        <v>998</v>
      </c>
      <c r="E259" s="55" t="s">
        <v>690</v>
      </c>
      <c r="F259" s="56" t="str">
        <f t="shared" ref="F259:F322" si="4">CONCATENATE(A259,E259)</f>
        <v>061513202022025</v>
      </c>
      <c r="G259" s="54" t="s">
        <v>1059</v>
      </c>
      <c r="H259" s="54"/>
      <c r="I259" s="57"/>
    </row>
    <row r="260" spans="1:9" ht="25.5" x14ac:dyDescent="0.2">
      <c r="A260" s="53" t="s">
        <v>1070</v>
      </c>
      <c r="B260" s="54" t="s">
        <v>1071</v>
      </c>
      <c r="C260" s="54" t="s">
        <v>1072</v>
      </c>
      <c r="D260" s="54" t="s">
        <v>989</v>
      </c>
      <c r="E260" s="55" t="s">
        <v>447</v>
      </c>
      <c r="F260" s="56" t="str">
        <f t="shared" si="4"/>
        <v>061513404012025</v>
      </c>
      <c r="G260" s="54" t="s">
        <v>990</v>
      </c>
      <c r="H260" s="54"/>
      <c r="I260" s="57"/>
    </row>
    <row r="261" spans="1:9" ht="25.5" x14ac:dyDescent="0.2">
      <c r="A261" s="53" t="s">
        <v>1070</v>
      </c>
      <c r="B261" s="54" t="s">
        <v>1071</v>
      </c>
      <c r="C261" s="54" t="s">
        <v>1072</v>
      </c>
      <c r="D261" s="54" t="s">
        <v>991</v>
      </c>
      <c r="E261" s="55" t="s">
        <v>450</v>
      </c>
      <c r="F261" s="56" t="str">
        <f t="shared" si="4"/>
        <v>061513404022025</v>
      </c>
      <c r="G261" s="54" t="s">
        <v>1058</v>
      </c>
      <c r="H261" s="54"/>
      <c r="I261" s="57"/>
    </row>
    <row r="262" spans="1:9" ht="25.5" x14ac:dyDescent="0.2">
      <c r="A262" s="53" t="s">
        <v>1070</v>
      </c>
      <c r="B262" s="54" t="s">
        <v>1071</v>
      </c>
      <c r="C262" s="54" t="s">
        <v>1072</v>
      </c>
      <c r="D262" s="54" t="s">
        <v>993</v>
      </c>
      <c r="E262" s="55" t="s">
        <v>687</v>
      </c>
      <c r="F262" s="56" t="str">
        <f t="shared" si="4"/>
        <v>061513402012025</v>
      </c>
      <c r="G262" s="54" t="s">
        <v>1058</v>
      </c>
      <c r="H262" s="54"/>
      <c r="I262" s="57"/>
    </row>
    <row r="263" spans="1:9" ht="25.5" x14ac:dyDescent="0.2">
      <c r="A263" s="53" t="s">
        <v>1070</v>
      </c>
      <c r="B263" s="54" t="s">
        <v>1071</v>
      </c>
      <c r="C263" s="54" t="s">
        <v>1072</v>
      </c>
      <c r="D263" s="54" t="s">
        <v>994</v>
      </c>
      <c r="E263" s="55" t="s">
        <v>453</v>
      </c>
      <c r="F263" s="56" t="str">
        <f t="shared" si="4"/>
        <v>061513404032025</v>
      </c>
      <c r="G263" s="54" t="s">
        <v>1066</v>
      </c>
      <c r="H263" s="54"/>
      <c r="I263" s="57"/>
    </row>
    <row r="264" spans="1:9" ht="25.5" x14ac:dyDescent="0.2">
      <c r="A264" s="53" t="s">
        <v>1070</v>
      </c>
      <c r="B264" s="54" t="s">
        <v>1071</v>
      </c>
      <c r="C264" s="54" t="s">
        <v>1072</v>
      </c>
      <c r="D264" s="54" t="s">
        <v>996</v>
      </c>
      <c r="E264" s="55" t="s">
        <v>457</v>
      </c>
      <c r="F264" s="56" t="str">
        <f t="shared" si="4"/>
        <v>061513404042025</v>
      </c>
      <c r="G264" s="54" t="s">
        <v>1059</v>
      </c>
      <c r="H264" s="54"/>
      <c r="I264" s="57"/>
    </row>
    <row r="265" spans="1:9" ht="25.5" x14ac:dyDescent="0.2">
      <c r="A265" s="53" t="s">
        <v>1070</v>
      </c>
      <c r="B265" s="54" t="s">
        <v>1071</v>
      </c>
      <c r="C265" s="54" t="s">
        <v>1072</v>
      </c>
      <c r="D265" s="54" t="s">
        <v>998</v>
      </c>
      <c r="E265" s="55" t="s">
        <v>690</v>
      </c>
      <c r="F265" s="56" t="str">
        <f t="shared" si="4"/>
        <v>061513402022025</v>
      </c>
      <c r="G265" s="54" t="s">
        <v>1059</v>
      </c>
      <c r="H265" s="54"/>
      <c r="I265" s="57"/>
    </row>
    <row r="266" spans="1:9" ht="38.25" x14ac:dyDescent="0.2">
      <c r="A266" s="53" t="s">
        <v>1073</v>
      </c>
      <c r="B266" s="54" t="s">
        <v>1074</v>
      </c>
      <c r="C266" s="54" t="s">
        <v>1075</v>
      </c>
      <c r="D266" s="54" t="s">
        <v>989</v>
      </c>
      <c r="E266" s="55" t="s">
        <v>447</v>
      </c>
      <c r="F266" s="56" t="str">
        <f t="shared" si="4"/>
        <v>060510404012025</v>
      </c>
      <c r="G266" s="54" t="s">
        <v>1076</v>
      </c>
      <c r="H266" s="54"/>
      <c r="I266" s="57"/>
    </row>
    <row r="267" spans="1:9" ht="38.25" x14ac:dyDescent="0.2">
      <c r="A267" s="53" t="s">
        <v>1073</v>
      </c>
      <c r="B267" s="54" t="s">
        <v>1074</v>
      </c>
      <c r="C267" s="54" t="s">
        <v>1075</v>
      </c>
      <c r="D267" s="54" t="s">
        <v>991</v>
      </c>
      <c r="E267" s="55" t="s">
        <v>450</v>
      </c>
      <c r="F267" s="56" t="str">
        <f t="shared" si="4"/>
        <v>060510404022025</v>
      </c>
      <c r="G267" s="54" t="s">
        <v>1077</v>
      </c>
      <c r="H267" s="54"/>
      <c r="I267" s="57"/>
    </row>
    <row r="268" spans="1:9" ht="38.25" x14ac:dyDescent="0.2">
      <c r="A268" s="53" t="s">
        <v>1073</v>
      </c>
      <c r="B268" s="54" t="s">
        <v>1074</v>
      </c>
      <c r="C268" s="54" t="s">
        <v>1075</v>
      </c>
      <c r="D268" s="54" t="s">
        <v>993</v>
      </c>
      <c r="E268" s="55" t="s">
        <v>687</v>
      </c>
      <c r="F268" s="56" t="str">
        <f t="shared" si="4"/>
        <v>060510402012025</v>
      </c>
      <c r="G268" s="54" t="s">
        <v>1077</v>
      </c>
      <c r="H268" s="54"/>
      <c r="I268" s="57"/>
    </row>
    <row r="269" spans="1:9" ht="38.25" x14ac:dyDescent="0.2">
      <c r="A269" s="53" t="s">
        <v>1073</v>
      </c>
      <c r="B269" s="54" t="s">
        <v>1074</v>
      </c>
      <c r="C269" s="54" t="s">
        <v>1075</v>
      </c>
      <c r="D269" s="54" t="s">
        <v>994</v>
      </c>
      <c r="E269" s="55" t="s">
        <v>453</v>
      </c>
      <c r="F269" s="56" t="str">
        <f t="shared" si="4"/>
        <v>060510404032025</v>
      </c>
      <c r="G269" s="54" t="s">
        <v>1078</v>
      </c>
      <c r="H269" s="54"/>
      <c r="I269" s="57"/>
    </row>
    <row r="270" spans="1:9" ht="38.25" x14ac:dyDescent="0.2">
      <c r="A270" s="53" t="s">
        <v>1073</v>
      </c>
      <c r="B270" s="54" t="s">
        <v>1074</v>
      </c>
      <c r="C270" s="54" t="s">
        <v>1075</v>
      </c>
      <c r="D270" s="54" t="s">
        <v>996</v>
      </c>
      <c r="E270" s="55" t="s">
        <v>457</v>
      </c>
      <c r="F270" s="56" t="str">
        <f t="shared" si="4"/>
        <v>060510404042025</v>
      </c>
      <c r="G270" s="54" t="s">
        <v>1079</v>
      </c>
      <c r="H270" s="54"/>
      <c r="I270" s="57"/>
    </row>
    <row r="271" spans="1:9" ht="38.25" x14ac:dyDescent="0.2">
      <c r="A271" s="53" t="s">
        <v>1073</v>
      </c>
      <c r="B271" s="54" t="s">
        <v>1074</v>
      </c>
      <c r="C271" s="54" t="s">
        <v>1075</v>
      </c>
      <c r="D271" s="54" t="s">
        <v>998</v>
      </c>
      <c r="E271" s="55" t="s">
        <v>690</v>
      </c>
      <c r="F271" s="56" t="str">
        <f t="shared" si="4"/>
        <v>060510402022025</v>
      </c>
      <c r="G271" s="54" t="s">
        <v>1079</v>
      </c>
      <c r="H271" s="54"/>
      <c r="I271" s="57"/>
    </row>
    <row r="272" spans="1:9" x14ac:dyDescent="0.2">
      <c r="A272" s="53" t="s">
        <v>86</v>
      </c>
      <c r="B272" s="54" t="s">
        <v>1080</v>
      </c>
      <c r="C272" s="54" t="s">
        <v>1081</v>
      </c>
      <c r="D272" s="54" t="s">
        <v>989</v>
      </c>
      <c r="E272" s="55" t="s">
        <v>447</v>
      </c>
      <c r="F272" s="56" t="str">
        <f t="shared" si="4"/>
        <v>061601004012025</v>
      </c>
      <c r="G272" s="54" t="s">
        <v>1082</v>
      </c>
      <c r="H272" s="54"/>
      <c r="I272" s="57"/>
    </row>
    <row r="273" spans="1:9" ht="25.5" x14ac:dyDescent="0.2">
      <c r="A273" s="53" t="s">
        <v>85</v>
      </c>
      <c r="B273" s="54" t="s">
        <v>1083</v>
      </c>
      <c r="C273" s="54" t="s">
        <v>1084</v>
      </c>
      <c r="D273" s="54" t="s">
        <v>989</v>
      </c>
      <c r="E273" s="55" t="s">
        <v>447</v>
      </c>
      <c r="F273" s="56" t="str">
        <f t="shared" si="4"/>
        <v>061600904012025</v>
      </c>
      <c r="G273" s="54" t="s">
        <v>1085</v>
      </c>
      <c r="H273" s="54"/>
      <c r="I273" s="57"/>
    </row>
    <row r="274" spans="1:9" x14ac:dyDescent="0.2">
      <c r="A274" s="53" t="s">
        <v>147</v>
      </c>
      <c r="B274" s="54" t="s">
        <v>1086</v>
      </c>
      <c r="C274" s="54" t="s">
        <v>1087</v>
      </c>
      <c r="D274" s="54" t="s">
        <v>989</v>
      </c>
      <c r="E274" s="55" t="s">
        <v>447</v>
      </c>
      <c r="F274" s="56" t="str">
        <f t="shared" si="4"/>
        <v>061400904012025</v>
      </c>
      <c r="G274" s="54" t="s">
        <v>1088</v>
      </c>
      <c r="H274" s="54"/>
      <c r="I274" s="57"/>
    </row>
    <row r="275" spans="1:9" ht="25.5" x14ac:dyDescent="0.2">
      <c r="A275" s="53" t="s">
        <v>365</v>
      </c>
      <c r="B275" s="54" t="s">
        <v>366</v>
      </c>
      <c r="C275" s="54" t="s">
        <v>1089</v>
      </c>
      <c r="D275" s="54" t="s">
        <v>989</v>
      </c>
      <c r="E275" s="55" t="s">
        <v>447</v>
      </c>
      <c r="F275" s="56" t="str">
        <f t="shared" si="4"/>
        <v>060801404012025</v>
      </c>
      <c r="G275" s="54" t="s">
        <v>1090</v>
      </c>
      <c r="H275" s="54"/>
      <c r="I275" s="57"/>
    </row>
    <row r="276" spans="1:9" ht="25.5" x14ac:dyDescent="0.2">
      <c r="A276" s="53" t="s">
        <v>365</v>
      </c>
      <c r="B276" s="54" t="s">
        <v>366</v>
      </c>
      <c r="C276" s="54" t="s">
        <v>1089</v>
      </c>
      <c r="D276" s="54" t="s">
        <v>991</v>
      </c>
      <c r="E276" s="55" t="s">
        <v>450</v>
      </c>
      <c r="F276" s="56" t="str">
        <f t="shared" si="4"/>
        <v>060801404022025</v>
      </c>
      <c r="G276" s="54" t="s">
        <v>992</v>
      </c>
      <c r="H276" s="54"/>
      <c r="I276" s="57"/>
    </row>
    <row r="277" spans="1:9" ht="25.5" x14ac:dyDescent="0.2">
      <c r="A277" s="53" t="s">
        <v>365</v>
      </c>
      <c r="B277" s="54" t="s">
        <v>366</v>
      </c>
      <c r="C277" s="54" t="s">
        <v>1089</v>
      </c>
      <c r="D277" s="54" t="s">
        <v>993</v>
      </c>
      <c r="E277" s="55" t="s">
        <v>687</v>
      </c>
      <c r="F277" s="56" t="str">
        <f t="shared" si="4"/>
        <v>060801402012025</v>
      </c>
      <c r="G277" s="54" t="s">
        <v>992</v>
      </c>
      <c r="H277" s="54"/>
      <c r="I277" s="57"/>
    </row>
    <row r="278" spans="1:9" ht="25.5" x14ac:dyDescent="0.2">
      <c r="A278" s="53" t="s">
        <v>365</v>
      </c>
      <c r="B278" s="54" t="s">
        <v>366</v>
      </c>
      <c r="C278" s="54" t="s">
        <v>1089</v>
      </c>
      <c r="D278" s="54" t="s">
        <v>994</v>
      </c>
      <c r="E278" s="55" t="s">
        <v>453</v>
      </c>
      <c r="F278" s="56" t="str">
        <f t="shared" si="4"/>
        <v>060801404032025</v>
      </c>
      <c r="G278" s="54" t="s">
        <v>1091</v>
      </c>
      <c r="H278" s="54"/>
      <c r="I278" s="57"/>
    </row>
    <row r="279" spans="1:9" x14ac:dyDescent="0.2">
      <c r="A279" s="53" t="s">
        <v>227</v>
      </c>
      <c r="B279" s="54" t="s">
        <v>1092</v>
      </c>
      <c r="C279" s="54" t="s">
        <v>1093</v>
      </c>
      <c r="D279" s="54" t="s">
        <v>989</v>
      </c>
      <c r="E279" s="55" t="s">
        <v>447</v>
      </c>
      <c r="F279" s="56" t="str">
        <f t="shared" si="4"/>
        <v>060101304012025</v>
      </c>
      <c r="G279" s="54" t="s">
        <v>1094</v>
      </c>
      <c r="H279" s="54"/>
      <c r="I279" s="57"/>
    </row>
    <row r="280" spans="1:9" ht="38.25" x14ac:dyDescent="0.2">
      <c r="A280" s="53" t="s">
        <v>1095</v>
      </c>
      <c r="B280" s="54" t="s">
        <v>1096</v>
      </c>
      <c r="C280" s="54" t="s">
        <v>1097</v>
      </c>
      <c r="D280" s="54" t="s">
        <v>989</v>
      </c>
      <c r="E280" s="55" t="s">
        <v>447</v>
      </c>
      <c r="F280" s="56" t="str">
        <f t="shared" si="4"/>
        <v>060800704012025</v>
      </c>
      <c r="G280" s="54" t="s">
        <v>990</v>
      </c>
      <c r="H280" s="54"/>
      <c r="I280" s="57"/>
    </row>
    <row r="281" spans="1:9" ht="38.25" x14ac:dyDescent="0.2">
      <c r="A281" s="53" t="s">
        <v>1095</v>
      </c>
      <c r="B281" s="54" t="s">
        <v>1096</v>
      </c>
      <c r="C281" s="54" t="s">
        <v>1097</v>
      </c>
      <c r="D281" s="54" t="s">
        <v>991</v>
      </c>
      <c r="E281" s="55" t="s">
        <v>450</v>
      </c>
      <c r="F281" s="56" t="str">
        <f t="shared" si="4"/>
        <v>060800704022025</v>
      </c>
      <c r="G281" s="54" t="s">
        <v>992</v>
      </c>
      <c r="H281" s="54"/>
      <c r="I281" s="57"/>
    </row>
    <row r="282" spans="1:9" ht="38.25" x14ac:dyDescent="0.2">
      <c r="A282" s="53" t="s">
        <v>1095</v>
      </c>
      <c r="B282" s="54" t="s">
        <v>1096</v>
      </c>
      <c r="C282" s="54" t="s">
        <v>1097</v>
      </c>
      <c r="D282" s="54" t="s">
        <v>993</v>
      </c>
      <c r="E282" s="55" t="s">
        <v>687</v>
      </c>
      <c r="F282" s="56" t="str">
        <f t="shared" si="4"/>
        <v>060800702012025</v>
      </c>
      <c r="G282" s="54" t="s">
        <v>992</v>
      </c>
      <c r="H282" s="54"/>
      <c r="I282" s="57"/>
    </row>
    <row r="283" spans="1:9" ht="38.25" x14ac:dyDescent="0.2">
      <c r="A283" s="53" t="s">
        <v>1095</v>
      </c>
      <c r="B283" s="54" t="s">
        <v>1096</v>
      </c>
      <c r="C283" s="54" t="s">
        <v>1097</v>
      </c>
      <c r="D283" s="54" t="s">
        <v>994</v>
      </c>
      <c r="E283" s="55" t="s">
        <v>453</v>
      </c>
      <c r="F283" s="56" t="str">
        <f t="shared" si="4"/>
        <v>060800704032025</v>
      </c>
      <c r="G283" s="54" t="s">
        <v>995</v>
      </c>
      <c r="H283" s="54"/>
      <c r="I283" s="57"/>
    </row>
    <row r="284" spans="1:9" ht="38.25" x14ac:dyDescent="0.2">
      <c r="A284" s="53" t="s">
        <v>1095</v>
      </c>
      <c r="B284" s="54" t="s">
        <v>1096</v>
      </c>
      <c r="C284" s="54" t="s">
        <v>1097</v>
      </c>
      <c r="D284" s="54" t="s">
        <v>996</v>
      </c>
      <c r="E284" s="55" t="s">
        <v>457</v>
      </c>
      <c r="F284" s="56" t="str">
        <f t="shared" si="4"/>
        <v>060800704042025</v>
      </c>
      <c r="G284" s="54" t="s">
        <v>997</v>
      </c>
      <c r="H284" s="54"/>
      <c r="I284" s="57"/>
    </row>
    <row r="285" spans="1:9" ht="38.25" x14ac:dyDescent="0.2">
      <c r="A285" s="53" t="s">
        <v>1095</v>
      </c>
      <c r="B285" s="54" t="s">
        <v>1096</v>
      </c>
      <c r="C285" s="54" t="s">
        <v>1097</v>
      </c>
      <c r="D285" s="54" t="s">
        <v>998</v>
      </c>
      <c r="E285" s="55" t="s">
        <v>690</v>
      </c>
      <c r="F285" s="56" t="str">
        <f t="shared" si="4"/>
        <v>060800702022025</v>
      </c>
      <c r="G285" s="54" t="s">
        <v>997</v>
      </c>
      <c r="H285" s="54"/>
      <c r="I285" s="57"/>
    </row>
    <row r="286" spans="1:9" ht="25.5" x14ac:dyDescent="0.2">
      <c r="A286" s="53" t="s">
        <v>104</v>
      </c>
      <c r="B286" s="54" t="s">
        <v>105</v>
      </c>
      <c r="C286" s="54" t="s">
        <v>1098</v>
      </c>
      <c r="D286" s="54" t="s">
        <v>989</v>
      </c>
      <c r="E286" s="55" t="s">
        <v>447</v>
      </c>
      <c r="F286" s="56" t="str">
        <f t="shared" si="4"/>
        <v>061506904012025</v>
      </c>
      <c r="G286" s="54" t="s">
        <v>746</v>
      </c>
      <c r="H286" s="54"/>
      <c r="I286" s="57"/>
    </row>
    <row r="287" spans="1:9" ht="25.5" x14ac:dyDescent="0.2">
      <c r="A287" s="53" t="s">
        <v>104</v>
      </c>
      <c r="B287" s="54" t="s">
        <v>105</v>
      </c>
      <c r="C287" s="54" t="s">
        <v>1098</v>
      </c>
      <c r="D287" s="54" t="s">
        <v>991</v>
      </c>
      <c r="E287" s="55" t="s">
        <v>450</v>
      </c>
      <c r="F287" s="56" t="str">
        <f t="shared" si="4"/>
        <v>061506904022025</v>
      </c>
      <c r="G287" s="54" t="s">
        <v>1099</v>
      </c>
      <c r="H287" s="54"/>
      <c r="I287" s="57"/>
    </row>
    <row r="288" spans="1:9" ht="25.5" x14ac:dyDescent="0.2">
      <c r="A288" s="53" t="s">
        <v>104</v>
      </c>
      <c r="B288" s="54" t="s">
        <v>105</v>
      </c>
      <c r="C288" s="54" t="s">
        <v>1098</v>
      </c>
      <c r="D288" s="54" t="s">
        <v>993</v>
      </c>
      <c r="E288" s="55" t="s">
        <v>687</v>
      </c>
      <c r="F288" s="56" t="str">
        <f t="shared" si="4"/>
        <v>061506902012025</v>
      </c>
      <c r="G288" s="54" t="s">
        <v>1099</v>
      </c>
      <c r="H288" s="54"/>
      <c r="I288" s="57"/>
    </row>
    <row r="289" spans="1:9" ht="25.5" x14ac:dyDescent="0.2">
      <c r="A289" s="53" t="s">
        <v>104</v>
      </c>
      <c r="B289" s="54" t="s">
        <v>105</v>
      </c>
      <c r="C289" s="54" t="s">
        <v>1098</v>
      </c>
      <c r="D289" s="54" t="s">
        <v>994</v>
      </c>
      <c r="E289" s="55" t="s">
        <v>453</v>
      </c>
      <c r="F289" s="56" t="str">
        <f t="shared" si="4"/>
        <v>061506904032025</v>
      </c>
      <c r="G289" s="54" t="s">
        <v>1100</v>
      </c>
      <c r="H289" s="54"/>
      <c r="I289" s="57"/>
    </row>
    <row r="290" spans="1:9" ht="25.5" x14ac:dyDescent="0.2">
      <c r="A290" s="53" t="s">
        <v>104</v>
      </c>
      <c r="B290" s="54" t="s">
        <v>105</v>
      </c>
      <c r="C290" s="54" t="s">
        <v>1098</v>
      </c>
      <c r="D290" s="54" t="s">
        <v>996</v>
      </c>
      <c r="E290" s="55" t="s">
        <v>457</v>
      </c>
      <c r="F290" s="56" t="str">
        <f t="shared" si="4"/>
        <v>061506904042025</v>
      </c>
      <c r="G290" s="54" t="s">
        <v>1101</v>
      </c>
      <c r="H290" s="54"/>
      <c r="I290" s="57"/>
    </row>
    <row r="291" spans="1:9" ht="25.5" x14ac:dyDescent="0.2">
      <c r="A291" s="53" t="s">
        <v>104</v>
      </c>
      <c r="B291" s="54" t="s">
        <v>105</v>
      </c>
      <c r="C291" s="54" t="s">
        <v>1098</v>
      </c>
      <c r="D291" s="54" t="s">
        <v>998</v>
      </c>
      <c r="E291" s="55" t="s">
        <v>690</v>
      </c>
      <c r="F291" s="56" t="str">
        <f t="shared" si="4"/>
        <v>061506902022025</v>
      </c>
      <c r="G291" s="54" t="s">
        <v>1101</v>
      </c>
      <c r="H291" s="54"/>
      <c r="I291" s="57"/>
    </row>
    <row r="292" spans="1:9" x14ac:dyDescent="0.2">
      <c r="A292" s="53" t="s">
        <v>329</v>
      </c>
      <c r="B292" s="54" t="s">
        <v>968</v>
      </c>
      <c r="C292" s="54" t="s">
        <v>969</v>
      </c>
      <c r="D292" s="54" t="s">
        <v>989</v>
      </c>
      <c r="E292" s="55" t="s">
        <v>447</v>
      </c>
      <c r="F292" s="56" t="str">
        <f t="shared" si="4"/>
        <v>061100404012025</v>
      </c>
      <c r="G292" s="54" t="s">
        <v>990</v>
      </c>
      <c r="H292" s="54"/>
      <c r="I292" s="57"/>
    </row>
    <row r="293" spans="1:9" x14ac:dyDescent="0.2">
      <c r="A293" s="53" t="s">
        <v>329</v>
      </c>
      <c r="B293" s="54" t="s">
        <v>968</v>
      </c>
      <c r="C293" s="54" t="s">
        <v>969</v>
      </c>
      <c r="D293" s="54" t="s">
        <v>991</v>
      </c>
      <c r="E293" s="55" t="s">
        <v>450</v>
      </c>
      <c r="F293" s="56" t="str">
        <f t="shared" si="4"/>
        <v>061100404022025</v>
      </c>
      <c r="G293" s="54" t="s">
        <v>992</v>
      </c>
      <c r="H293" s="54"/>
      <c r="I293" s="57"/>
    </row>
    <row r="294" spans="1:9" x14ac:dyDescent="0.2">
      <c r="A294" s="53" t="s">
        <v>329</v>
      </c>
      <c r="B294" s="54" t="s">
        <v>968</v>
      </c>
      <c r="C294" s="54" t="s">
        <v>969</v>
      </c>
      <c r="D294" s="54" t="s">
        <v>993</v>
      </c>
      <c r="E294" s="55" t="s">
        <v>687</v>
      </c>
      <c r="F294" s="56" t="str">
        <f t="shared" si="4"/>
        <v>061100402012025</v>
      </c>
      <c r="G294" s="54" t="s">
        <v>992</v>
      </c>
      <c r="H294" s="54"/>
      <c r="I294" s="57"/>
    </row>
    <row r="295" spans="1:9" x14ac:dyDescent="0.2">
      <c r="A295" s="53" t="s">
        <v>329</v>
      </c>
      <c r="B295" s="54" t="s">
        <v>968</v>
      </c>
      <c r="C295" s="54" t="s">
        <v>969</v>
      </c>
      <c r="D295" s="54" t="s">
        <v>994</v>
      </c>
      <c r="E295" s="55" t="s">
        <v>453</v>
      </c>
      <c r="F295" s="56" t="str">
        <f t="shared" si="4"/>
        <v>061100404032025</v>
      </c>
      <c r="G295" s="54" t="s">
        <v>995</v>
      </c>
      <c r="H295" s="54"/>
      <c r="I295" s="57"/>
    </row>
    <row r="296" spans="1:9" x14ac:dyDescent="0.2">
      <c r="A296" s="53" t="s">
        <v>119</v>
      </c>
      <c r="B296" s="54" t="s">
        <v>120</v>
      </c>
      <c r="C296" s="54" t="s">
        <v>1102</v>
      </c>
      <c r="D296" s="54" t="s">
        <v>989</v>
      </c>
      <c r="E296" s="55" t="s">
        <v>447</v>
      </c>
      <c r="F296" s="56" t="str">
        <f t="shared" si="4"/>
        <v>061402604012025</v>
      </c>
      <c r="G296" s="54" t="s">
        <v>990</v>
      </c>
      <c r="H296" s="54"/>
      <c r="I296" s="57"/>
    </row>
    <row r="297" spans="1:9" x14ac:dyDescent="0.2">
      <c r="A297" s="53" t="s">
        <v>119</v>
      </c>
      <c r="B297" s="54" t="s">
        <v>120</v>
      </c>
      <c r="C297" s="54" t="s">
        <v>1102</v>
      </c>
      <c r="D297" s="54" t="s">
        <v>991</v>
      </c>
      <c r="E297" s="55" t="s">
        <v>450</v>
      </c>
      <c r="F297" s="56" t="str">
        <f t="shared" si="4"/>
        <v>061402604022025</v>
      </c>
      <c r="G297" s="54" t="s">
        <v>992</v>
      </c>
      <c r="H297" s="54"/>
      <c r="I297" s="57"/>
    </row>
    <row r="298" spans="1:9" x14ac:dyDescent="0.2">
      <c r="A298" s="53" t="s">
        <v>119</v>
      </c>
      <c r="B298" s="54" t="s">
        <v>120</v>
      </c>
      <c r="C298" s="54" t="s">
        <v>1102</v>
      </c>
      <c r="D298" s="54" t="s">
        <v>993</v>
      </c>
      <c r="E298" s="55" t="s">
        <v>687</v>
      </c>
      <c r="F298" s="56" t="str">
        <f t="shared" si="4"/>
        <v>061402602012025</v>
      </c>
      <c r="G298" s="54" t="s">
        <v>992</v>
      </c>
      <c r="H298" s="54"/>
      <c r="I298" s="57"/>
    </row>
    <row r="299" spans="1:9" x14ac:dyDescent="0.2">
      <c r="A299" s="53" t="s">
        <v>119</v>
      </c>
      <c r="B299" s="54" t="s">
        <v>120</v>
      </c>
      <c r="C299" s="54" t="s">
        <v>1102</v>
      </c>
      <c r="D299" s="54" t="s">
        <v>994</v>
      </c>
      <c r="E299" s="55" t="s">
        <v>453</v>
      </c>
      <c r="F299" s="56" t="str">
        <f t="shared" si="4"/>
        <v>061402604032025</v>
      </c>
      <c r="G299" s="54" t="s">
        <v>1026</v>
      </c>
      <c r="H299" s="54"/>
      <c r="I299" s="57"/>
    </row>
    <row r="300" spans="1:9" x14ac:dyDescent="0.2">
      <c r="A300" s="53" t="s">
        <v>119</v>
      </c>
      <c r="B300" s="54" t="s">
        <v>120</v>
      </c>
      <c r="C300" s="54" t="s">
        <v>1102</v>
      </c>
      <c r="D300" s="54" t="s">
        <v>996</v>
      </c>
      <c r="E300" s="55" t="s">
        <v>457</v>
      </c>
      <c r="F300" s="56" t="str">
        <f t="shared" si="4"/>
        <v>061402604042025</v>
      </c>
      <c r="G300" s="54" t="s">
        <v>1027</v>
      </c>
      <c r="H300" s="54"/>
      <c r="I300" s="57"/>
    </row>
    <row r="301" spans="1:9" x14ac:dyDescent="0.2">
      <c r="A301" s="53" t="s">
        <v>119</v>
      </c>
      <c r="B301" s="54" t="s">
        <v>120</v>
      </c>
      <c r="C301" s="54" t="s">
        <v>1102</v>
      </c>
      <c r="D301" s="54" t="s">
        <v>998</v>
      </c>
      <c r="E301" s="55" t="s">
        <v>690</v>
      </c>
      <c r="F301" s="56" t="str">
        <f t="shared" si="4"/>
        <v>061402602022025</v>
      </c>
      <c r="G301" s="54" t="s">
        <v>1027</v>
      </c>
      <c r="H301" s="54"/>
      <c r="I301" s="57"/>
    </row>
    <row r="302" spans="1:9" x14ac:dyDescent="0.2">
      <c r="A302" s="53" t="s">
        <v>159</v>
      </c>
      <c r="B302" s="54" t="s">
        <v>1103</v>
      </c>
      <c r="C302" s="54" t="s">
        <v>1104</v>
      </c>
      <c r="D302" s="54" t="s">
        <v>989</v>
      </c>
      <c r="E302" s="55" t="s">
        <v>447</v>
      </c>
      <c r="F302" s="56" t="str">
        <f t="shared" si="4"/>
        <v>061513904012025</v>
      </c>
      <c r="G302" s="54" t="s">
        <v>990</v>
      </c>
      <c r="H302" s="54"/>
      <c r="I302" s="57"/>
    </row>
    <row r="303" spans="1:9" x14ac:dyDescent="0.2">
      <c r="A303" s="53" t="s">
        <v>159</v>
      </c>
      <c r="B303" s="54" t="s">
        <v>1103</v>
      </c>
      <c r="C303" s="54" t="s">
        <v>1104</v>
      </c>
      <c r="D303" s="54" t="s">
        <v>991</v>
      </c>
      <c r="E303" s="55" t="s">
        <v>450</v>
      </c>
      <c r="F303" s="56" t="str">
        <f t="shared" si="4"/>
        <v>061513904022025</v>
      </c>
      <c r="G303" s="54" t="s">
        <v>992</v>
      </c>
      <c r="H303" s="54"/>
      <c r="I303" s="57"/>
    </row>
    <row r="304" spans="1:9" x14ac:dyDescent="0.2">
      <c r="A304" s="53" t="s">
        <v>159</v>
      </c>
      <c r="B304" s="54" t="s">
        <v>1103</v>
      </c>
      <c r="C304" s="54" t="s">
        <v>1104</v>
      </c>
      <c r="D304" s="54" t="s">
        <v>993</v>
      </c>
      <c r="E304" s="55" t="s">
        <v>687</v>
      </c>
      <c r="F304" s="56" t="str">
        <f t="shared" si="4"/>
        <v>061513902012025</v>
      </c>
      <c r="G304" s="54" t="s">
        <v>992</v>
      </c>
      <c r="H304" s="54"/>
      <c r="I304" s="57"/>
    </row>
    <row r="305" spans="1:9" x14ac:dyDescent="0.2">
      <c r="A305" s="53" t="s">
        <v>159</v>
      </c>
      <c r="B305" s="54" t="s">
        <v>1103</v>
      </c>
      <c r="C305" s="54" t="s">
        <v>1104</v>
      </c>
      <c r="D305" s="54" t="s">
        <v>994</v>
      </c>
      <c r="E305" s="55" t="s">
        <v>453</v>
      </c>
      <c r="F305" s="56" t="str">
        <f t="shared" si="4"/>
        <v>061513904032025</v>
      </c>
      <c r="G305" s="54" t="s">
        <v>1040</v>
      </c>
      <c r="H305" s="54"/>
      <c r="I305" s="57"/>
    </row>
    <row r="306" spans="1:9" x14ac:dyDescent="0.2">
      <c r="A306" s="53" t="s">
        <v>159</v>
      </c>
      <c r="B306" s="54" t="s">
        <v>1103</v>
      </c>
      <c r="C306" s="54" t="s">
        <v>1104</v>
      </c>
      <c r="D306" s="54" t="s">
        <v>996</v>
      </c>
      <c r="E306" s="55" t="s">
        <v>457</v>
      </c>
      <c r="F306" s="56" t="str">
        <f t="shared" si="4"/>
        <v>061513904042025</v>
      </c>
      <c r="G306" s="54" t="s">
        <v>997</v>
      </c>
      <c r="H306" s="54"/>
      <c r="I306" s="57"/>
    </row>
    <row r="307" spans="1:9" x14ac:dyDescent="0.2">
      <c r="A307" s="53" t="s">
        <v>159</v>
      </c>
      <c r="B307" s="54" t="s">
        <v>1103</v>
      </c>
      <c r="C307" s="54" t="s">
        <v>1104</v>
      </c>
      <c r="D307" s="54" t="s">
        <v>998</v>
      </c>
      <c r="E307" s="55" t="s">
        <v>690</v>
      </c>
      <c r="F307" s="56" t="str">
        <f t="shared" si="4"/>
        <v>061513902022025</v>
      </c>
      <c r="G307" s="54" t="s">
        <v>997</v>
      </c>
      <c r="H307" s="54"/>
      <c r="I307" s="57"/>
    </row>
    <row r="308" spans="1:9" x14ac:dyDescent="0.2">
      <c r="A308" s="53" t="s">
        <v>97</v>
      </c>
      <c r="B308" s="54" t="s">
        <v>1105</v>
      </c>
      <c r="C308" s="54" t="s">
        <v>1106</v>
      </c>
      <c r="D308" s="54" t="s">
        <v>989</v>
      </c>
      <c r="E308" s="55" t="s">
        <v>447</v>
      </c>
      <c r="F308" s="56" t="str">
        <f t="shared" si="4"/>
        <v>061603204012025</v>
      </c>
      <c r="G308" s="54" t="s">
        <v>990</v>
      </c>
      <c r="H308" s="54"/>
      <c r="I308" s="57"/>
    </row>
    <row r="309" spans="1:9" x14ac:dyDescent="0.2">
      <c r="A309" s="53" t="s">
        <v>97</v>
      </c>
      <c r="B309" s="54" t="s">
        <v>1105</v>
      </c>
      <c r="C309" s="54" t="s">
        <v>1106</v>
      </c>
      <c r="D309" s="54" t="s">
        <v>991</v>
      </c>
      <c r="E309" s="55" t="s">
        <v>450</v>
      </c>
      <c r="F309" s="56" t="str">
        <f t="shared" si="4"/>
        <v>061603204022025</v>
      </c>
      <c r="G309" s="54" t="s">
        <v>992</v>
      </c>
      <c r="H309" s="54"/>
      <c r="I309" s="57"/>
    </row>
    <row r="310" spans="1:9" x14ac:dyDescent="0.2">
      <c r="A310" s="53" t="s">
        <v>97</v>
      </c>
      <c r="B310" s="54" t="s">
        <v>1105</v>
      </c>
      <c r="C310" s="54" t="s">
        <v>1106</v>
      </c>
      <c r="D310" s="54" t="s">
        <v>993</v>
      </c>
      <c r="E310" s="55" t="s">
        <v>687</v>
      </c>
      <c r="F310" s="56" t="str">
        <f t="shared" si="4"/>
        <v>061603202012025</v>
      </c>
      <c r="G310" s="54" t="s">
        <v>992</v>
      </c>
      <c r="H310" s="54"/>
      <c r="I310" s="57"/>
    </row>
    <row r="311" spans="1:9" x14ac:dyDescent="0.2">
      <c r="A311" s="53" t="s">
        <v>97</v>
      </c>
      <c r="B311" s="54" t="s">
        <v>1105</v>
      </c>
      <c r="C311" s="54" t="s">
        <v>1106</v>
      </c>
      <c r="D311" s="54" t="s">
        <v>994</v>
      </c>
      <c r="E311" s="55" t="s">
        <v>453</v>
      </c>
      <c r="F311" s="56" t="str">
        <f t="shared" si="4"/>
        <v>061603204032025</v>
      </c>
      <c r="G311" s="54" t="s">
        <v>995</v>
      </c>
      <c r="H311" s="54"/>
      <c r="I311" s="57"/>
    </row>
    <row r="312" spans="1:9" x14ac:dyDescent="0.2">
      <c r="A312" s="53" t="s">
        <v>97</v>
      </c>
      <c r="B312" s="54" t="s">
        <v>1105</v>
      </c>
      <c r="C312" s="54" t="s">
        <v>1106</v>
      </c>
      <c r="D312" s="54" t="s">
        <v>996</v>
      </c>
      <c r="E312" s="55" t="s">
        <v>457</v>
      </c>
      <c r="F312" s="56" t="str">
        <f t="shared" si="4"/>
        <v>061603204042025</v>
      </c>
      <c r="G312" s="54" t="s">
        <v>1019</v>
      </c>
      <c r="H312" s="54"/>
      <c r="I312" s="57"/>
    </row>
    <row r="313" spans="1:9" x14ac:dyDescent="0.2">
      <c r="A313" s="53" t="s">
        <v>97</v>
      </c>
      <c r="B313" s="54" t="s">
        <v>1105</v>
      </c>
      <c r="C313" s="54" t="s">
        <v>1106</v>
      </c>
      <c r="D313" s="54" t="s">
        <v>998</v>
      </c>
      <c r="E313" s="55" t="s">
        <v>690</v>
      </c>
      <c r="F313" s="56" t="str">
        <f t="shared" si="4"/>
        <v>061603202022025</v>
      </c>
      <c r="G313" s="54" t="s">
        <v>1019</v>
      </c>
      <c r="H313" s="54"/>
      <c r="I313" s="57"/>
    </row>
    <row r="314" spans="1:9" ht="25.5" x14ac:dyDescent="0.2">
      <c r="A314" s="53" t="s">
        <v>107</v>
      </c>
      <c r="B314" s="54" t="s">
        <v>108</v>
      </c>
      <c r="C314" s="54" t="s">
        <v>853</v>
      </c>
      <c r="D314" s="54" t="s">
        <v>1107</v>
      </c>
      <c r="E314" s="55" t="s">
        <v>396</v>
      </c>
      <c r="F314" s="56" t="str">
        <f t="shared" si="4"/>
        <v>060940712012025</v>
      </c>
      <c r="G314" s="54" t="s">
        <v>1017</v>
      </c>
      <c r="H314" s="54"/>
      <c r="I314" s="57"/>
    </row>
    <row r="315" spans="1:9" ht="25.5" x14ac:dyDescent="0.2">
      <c r="A315" s="53" t="s">
        <v>107</v>
      </c>
      <c r="B315" s="54" t="s">
        <v>108</v>
      </c>
      <c r="C315" s="54" t="s">
        <v>853</v>
      </c>
      <c r="D315" s="54" t="s">
        <v>1108</v>
      </c>
      <c r="E315" s="55" t="s">
        <v>400</v>
      </c>
      <c r="F315" s="56" t="str">
        <f t="shared" si="4"/>
        <v>060940712022025</v>
      </c>
      <c r="G315" s="54" t="s">
        <v>1109</v>
      </c>
      <c r="H315" s="54"/>
      <c r="I315" s="57"/>
    </row>
    <row r="316" spans="1:9" ht="25.5" x14ac:dyDescent="0.2">
      <c r="A316" s="53" t="s">
        <v>107</v>
      </c>
      <c r="B316" s="54" t="s">
        <v>108</v>
      </c>
      <c r="C316" s="54" t="s">
        <v>853</v>
      </c>
      <c r="D316" s="54" t="s">
        <v>1110</v>
      </c>
      <c r="E316" s="55" t="s">
        <v>404</v>
      </c>
      <c r="F316" s="56" t="str">
        <f t="shared" si="4"/>
        <v>060940712032025</v>
      </c>
      <c r="G316" s="54" t="s">
        <v>990</v>
      </c>
      <c r="H316" s="54"/>
      <c r="I316" s="57"/>
    </row>
    <row r="317" spans="1:9" ht="25.5" x14ac:dyDescent="0.2">
      <c r="A317" s="53" t="s">
        <v>107</v>
      </c>
      <c r="B317" s="54" t="s">
        <v>108</v>
      </c>
      <c r="C317" s="54" t="s">
        <v>853</v>
      </c>
      <c r="D317" s="54" t="s">
        <v>1111</v>
      </c>
      <c r="E317" s="55" t="s">
        <v>408</v>
      </c>
      <c r="F317" s="56" t="str">
        <f t="shared" si="4"/>
        <v>060940712042025</v>
      </c>
      <c r="G317" s="54" t="s">
        <v>1112</v>
      </c>
      <c r="H317" s="54"/>
      <c r="I317" s="57"/>
    </row>
    <row r="318" spans="1:9" ht="25.5" x14ac:dyDescent="0.2">
      <c r="A318" s="53" t="s">
        <v>107</v>
      </c>
      <c r="B318" s="54" t="s">
        <v>108</v>
      </c>
      <c r="C318" s="54" t="s">
        <v>853</v>
      </c>
      <c r="D318" s="54" t="s">
        <v>1113</v>
      </c>
      <c r="E318" s="55" t="s">
        <v>412</v>
      </c>
      <c r="F318" s="56" t="str">
        <f t="shared" si="4"/>
        <v>060940712052025</v>
      </c>
      <c r="G318" s="54" t="s">
        <v>1114</v>
      </c>
      <c r="H318" s="54"/>
      <c r="I318" s="57"/>
    </row>
    <row r="319" spans="1:9" ht="25.5" x14ac:dyDescent="0.2">
      <c r="A319" s="53" t="s">
        <v>107</v>
      </c>
      <c r="B319" s="54" t="s">
        <v>108</v>
      </c>
      <c r="C319" s="54" t="s">
        <v>853</v>
      </c>
      <c r="D319" s="54" t="s">
        <v>1115</v>
      </c>
      <c r="E319" s="55" t="s">
        <v>416</v>
      </c>
      <c r="F319" s="56" t="str">
        <f t="shared" si="4"/>
        <v>060940712062025</v>
      </c>
      <c r="G319" s="54" t="s">
        <v>992</v>
      </c>
      <c r="H319" s="54"/>
      <c r="I319" s="57"/>
    </row>
    <row r="320" spans="1:9" ht="25.5" x14ac:dyDescent="0.2">
      <c r="A320" s="53" t="s">
        <v>107</v>
      </c>
      <c r="B320" s="54" t="s">
        <v>108</v>
      </c>
      <c r="C320" s="54" t="s">
        <v>853</v>
      </c>
      <c r="D320" s="54" t="s">
        <v>1116</v>
      </c>
      <c r="E320" s="55" t="s">
        <v>420</v>
      </c>
      <c r="F320" s="56" t="str">
        <f t="shared" si="4"/>
        <v>060940712072025</v>
      </c>
      <c r="G320" s="54" t="s">
        <v>1013</v>
      </c>
      <c r="H320" s="54"/>
      <c r="I320" s="57"/>
    </row>
    <row r="321" spans="1:9" ht="25.5" x14ac:dyDescent="0.2">
      <c r="A321" s="53" t="s">
        <v>107</v>
      </c>
      <c r="B321" s="54" t="s">
        <v>108</v>
      </c>
      <c r="C321" s="54" t="s">
        <v>853</v>
      </c>
      <c r="D321" s="54" t="s">
        <v>1117</v>
      </c>
      <c r="E321" s="55" t="s">
        <v>424</v>
      </c>
      <c r="F321" s="56" t="str">
        <f t="shared" si="4"/>
        <v>060940712082025</v>
      </c>
      <c r="G321" s="54" t="s">
        <v>1118</v>
      </c>
      <c r="H321" s="54"/>
      <c r="I321" s="57"/>
    </row>
    <row r="322" spans="1:9" ht="25.5" x14ac:dyDescent="0.2">
      <c r="A322" s="53" t="s">
        <v>107</v>
      </c>
      <c r="B322" s="54" t="s">
        <v>108</v>
      </c>
      <c r="C322" s="54" t="s">
        <v>853</v>
      </c>
      <c r="D322" s="54" t="s">
        <v>1119</v>
      </c>
      <c r="E322" s="55" t="s">
        <v>428</v>
      </c>
      <c r="F322" s="56" t="str">
        <f t="shared" si="4"/>
        <v>060940712092025</v>
      </c>
      <c r="G322" s="54" t="s">
        <v>995</v>
      </c>
      <c r="H322" s="54"/>
      <c r="I322" s="57"/>
    </row>
    <row r="323" spans="1:9" ht="25.5" x14ac:dyDescent="0.2">
      <c r="A323" s="53" t="s">
        <v>107</v>
      </c>
      <c r="B323" s="54" t="s">
        <v>108</v>
      </c>
      <c r="C323" s="54" t="s">
        <v>853</v>
      </c>
      <c r="D323" s="54" t="s">
        <v>1120</v>
      </c>
      <c r="E323" s="55" t="s">
        <v>432</v>
      </c>
      <c r="F323" s="56" t="str">
        <f t="shared" ref="F323:F386" si="5">CONCATENATE(A323,E323)</f>
        <v>060940712102025</v>
      </c>
      <c r="G323" s="54" t="s">
        <v>1121</v>
      </c>
      <c r="H323" s="54"/>
      <c r="I323" s="57"/>
    </row>
    <row r="324" spans="1:9" ht="25.5" x14ac:dyDescent="0.2">
      <c r="A324" s="53" t="s">
        <v>107</v>
      </c>
      <c r="B324" s="54" t="s">
        <v>108</v>
      </c>
      <c r="C324" s="54" t="s">
        <v>853</v>
      </c>
      <c r="D324" s="54" t="s">
        <v>1122</v>
      </c>
      <c r="E324" s="55" t="s">
        <v>436</v>
      </c>
      <c r="F324" s="56" t="str">
        <f t="shared" si="5"/>
        <v>060940712112025</v>
      </c>
      <c r="G324" s="54" t="s">
        <v>1123</v>
      </c>
      <c r="H324" s="54"/>
      <c r="I324" s="57"/>
    </row>
    <row r="325" spans="1:9" ht="25.5" x14ac:dyDescent="0.2">
      <c r="A325" s="53" t="s">
        <v>107</v>
      </c>
      <c r="B325" s="54" t="s">
        <v>108</v>
      </c>
      <c r="C325" s="54" t="s">
        <v>853</v>
      </c>
      <c r="D325" s="54" t="s">
        <v>1124</v>
      </c>
      <c r="E325" s="55" t="s">
        <v>440</v>
      </c>
      <c r="F325" s="56" t="str">
        <f t="shared" si="5"/>
        <v>060940712122025</v>
      </c>
      <c r="G325" s="54" t="s">
        <v>1019</v>
      </c>
      <c r="H325" s="54"/>
      <c r="I325" s="57"/>
    </row>
    <row r="326" spans="1:9" x14ac:dyDescent="0.2">
      <c r="A326" s="53" t="s">
        <v>345</v>
      </c>
      <c r="B326" s="54" t="s">
        <v>346</v>
      </c>
      <c r="C326" s="54" t="s">
        <v>894</v>
      </c>
      <c r="D326" s="54" t="s">
        <v>1107</v>
      </c>
      <c r="E326" s="55" t="s">
        <v>396</v>
      </c>
      <c r="F326" s="56" t="str">
        <f t="shared" si="5"/>
        <v>061101612012025</v>
      </c>
      <c r="G326" s="54" t="s">
        <v>1017</v>
      </c>
      <c r="H326" s="54"/>
      <c r="I326" s="57"/>
    </row>
    <row r="327" spans="1:9" x14ac:dyDescent="0.2">
      <c r="A327" s="53" t="s">
        <v>232</v>
      </c>
      <c r="B327" s="54" t="s">
        <v>233</v>
      </c>
      <c r="C327" s="54" t="s">
        <v>1125</v>
      </c>
      <c r="D327" s="54" t="s">
        <v>1107</v>
      </c>
      <c r="E327" s="55" t="s">
        <v>396</v>
      </c>
      <c r="F327" s="56" t="str">
        <f t="shared" si="5"/>
        <v>061400812012025</v>
      </c>
      <c r="G327" s="54" t="s">
        <v>1017</v>
      </c>
      <c r="H327" s="54"/>
      <c r="I327" s="57"/>
    </row>
    <row r="328" spans="1:9" x14ac:dyDescent="0.2">
      <c r="A328" s="53" t="s">
        <v>83</v>
      </c>
      <c r="B328" s="54" t="s">
        <v>1126</v>
      </c>
      <c r="C328" s="54" t="s">
        <v>1127</v>
      </c>
      <c r="D328" s="54" t="s">
        <v>1107</v>
      </c>
      <c r="E328" s="55" t="s">
        <v>396</v>
      </c>
      <c r="F328" s="56" t="str">
        <f t="shared" si="5"/>
        <v>061600812012025</v>
      </c>
      <c r="G328" s="54" t="s">
        <v>1017</v>
      </c>
      <c r="H328" s="54"/>
      <c r="I328" s="57"/>
    </row>
    <row r="329" spans="1:9" x14ac:dyDescent="0.2">
      <c r="A329" s="53" t="s">
        <v>83</v>
      </c>
      <c r="B329" s="54" t="s">
        <v>1126</v>
      </c>
      <c r="C329" s="54" t="s">
        <v>1127</v>
      </c>
      <c r="D329" s="54" t="s">
        <v>1108</v>
      </c>
      <c r="E329" s="55" t="s">
        <v>400</v>
      </c>
      <c r="F329" s="56" t="str">
        <f t="shared" si="5"/>
        <v>061600812022025</v>
      </c>
      <c r="G329" s="54" t="s">
        <v>1082</v>
      </c>
      <c r="H329" s="54"/>
      <c r="I329" s="57"/>
    </row>
    <row r="330" spans="1:9" x14ac:dyDescent="0.2">
      <c r="A330" s="53" t="s">
        <v>83</v>
      </c>
      <c r="B330" s="54" t="s">
        <v>1126</v>
      </c>
      <c r="C330" s="54" t="s">
        <v>1127</v>
      </c>
      <c r="D330" s="54" t="s">
        <v>1110</v>
      </c>
      <c r="E330" s="55" t="s">
        <v>404</v>
      </c>
      <c r="F330" s="56" t="str">
        <f t="shared" si="5"/>
        <v>061600812032025</v>
      </c>
      <c r="G330" s="54" t="s">
        <v>990</v>
      </c>
      <c r="H330" s="54"/>
      <c r="I330" s="57"/>
    </row>
    <row r="331" spans="1:9" ht="25.5" x14ac:dyDescent="0.2">
      <c r="A331" s="53" t="s">
        <v>83</v>
      </c>
      <c r="B331" s="54" t="s">
        <v>1126</v>
      </c>
      <c r="C331" s="54" t="s">
        <v>1127</v>
      </c>
      <c r="D331" s="54" t="s">
        <v>1111</v>
      </c>
      <c r="E331" s="55" t="s">
        <v>408</v>
      </c>
      <c r="F331" s="56" t="str">
        <f t="shared" si="5"/>
        <v>061600812042025</v>
      </c>
      <c r="G331" s="54" t="s">
        <v>1128</v>
      </c>
      <c r="H331" s="54"/>
      <c r="I331" s="57"/>
    </row>
    <row r="332" spans="1:9" ht="25.5" x14ac:dyDescent="0.2">
      <c r="A332" s="53" t="s">
        <v>83</v>
      </c>
      <c r="B332" s="54" t="s">
        <v>1126</v>
      </c>
      <c r="C332" s="54" t="s">
        <v>1127</v>
      </c>
      <c r="D332" s="54" t="s">
        <v>1113</v>
      </c>
      <c r="E332" s="55" t="s">
        <v>412</v>
      </c>
      <c r="F332" s="56" t="str">
        <f t="shared" si="5"/>
        <v>061600812052025</v>
      </c>
      <c r="G332" s="54" t="s">
        <v>1129</v>
      </c>
      <c r="H332" s="54"/>
      <c r="I332" s="57"/>
    </row>
    <row r="333" spans="1:9" ht="25.5" x14ac:dyDescent="0.2">
      <c r="A333" s="53" t="s">
        <v>83</v>
      </c>
      <c r="B333" s="54" t="s">
        <v>1126</v>
      </c>
      <c r="C333" s="54" t="s">
        <v>1127</v>
      </c>
      <c r="D333" s="54" t="s">
        <v>1115</v>
      </c>
      <c r="E333" s="55" t="s">
        <v>416</v>
      </c>
      <c r="F333" s="56" t="str">
        <f t="shared" si="5"/>
        <v>061600812062025</v>
      </c>
      <c r="G333" s="54" t="s">
        <v>1058</v>
      </c>
      <c r="H333" s="54"/>
      <c r="I333" s="57"/>
    </row>
    <row r="334" spans="1:9" ht="25.5" x14ac:dyDescent="0.2">
      <c r="A334" s="53" t="s">
        <v>83</v>
      </c>
      <c r="B334" s="54" t="s">
        <v>1126</v>
      </c>
      <c r="C334" s="54" t="s">
        <v>1127</v>
      </c>
      <c r="D334" s="54" t="s">
        <v>1116</v>
      </c>
      <c r="E334" s="55" t="s">
        <v>420</v>
      </c>
      <c r="F334" s="56" t="str">
        <f t="shared" si="5"/>
        <v>061600812072025</v>
      </c>
      <c r="G334" s="54" t="s">
        <v>1130</v>
      </c>
      <c r="H334" s="54"/>
      <c r="I334" s="57"/>
    </row>
    <row r="335" spans="1:9" x14ac:dyDescent="0.2">
      <c r="A335" s="53" t="s">
        <v>83</v>
      </c>
      <c r="B335" s="54" t="s">
        <v>1126</v>
      </c>
      <c r="C335" s="54" t="s">
        <v>1127</v>
      </c>
      <c r="D335" s="54" t="s">
        <v>1117</v>
      </c>
      <c r="E335" s="55" t="s">
        <v>424</v>
      </c>
      <c r="F335" s="56" t="str">
        <f t="shared" si="5"/>
        <v>061600812082025</v>
      </c>
      <c r="G335" s="54" t="s">
        <v>1118</v>
      </c>
      <c r="H335" s="54"/>
      <c r="I335" s="57"/>
    </row>
    <row r="336" spans="1:9" ht="25.5" x14ac:dyDescent="0.2">
      <c r="A336" s="53" t="s">
        <v>83</v>
      </c>
      <c r="B336" s="54" t="s">
        <v>1126</v>
      </c>
      <c r="C336" s="54" t="s">
        <v>1127</v>
      </c>
      <c r="D336" s="54" t="s">
        <v>1119</v>
      </c>
      <c r="E336" s="55" t="s">
        <v>428</v>
      </c>
      <c r="F336" s="56" t="str">
        <f t="shared" si="5"/>
        <v>061600812092025</v>
      </c>
      <c r="G336" s="54" t="s">
        <v>1066</v>
      </c>
      <c r="H336" s="54"/>
      <c r="I336" s="57"/>
    </row>
    <row r="337" spans="1:9" ht="25.5" x14ac:dyDescent="0.2">
      <c r="A337" s="53" t="s">
        <v>83</v>
      </c>
      <c r="B337" s="54" t="s">
        <v>1126</v>
      </c>
      <c r="C337" s="54" t="s">
        <v>1127</v>
      </c>
      <c r="D337" s="54" t="s">
        <v>1120</v>
      </c>
      <c r="E337" s="55" t="s">
        <v>432</v>
      </c>
      <c r="F337" s="56" t="str">
        <f t="shared" si="5"/>
        <v>061600812102025</v>
      </c>
      <c r="G337" s="54" t="s">
        <v>1131</v>
      </c>
      <c r="H337" s="54"/>
      <c r="I337" s="57"/>
    </row>
    <row r="338" spans="1:9" x14ac:dyDescent="0.2">
      <c r="A338" s="53" t="s">
        <v>83</v>
      </c>
      <c r="B338" s="54" t="s">
        <v>1126</v>
      </c>
      <c r="C338" s="54" t="s">
        <v>1127</v>
      </c>
      <c r="D338" s="54" t="s">
        <v>1122</v>
      </c>
      <c r="E338" s="55" t="s">
        <v>436</v>
      </c>
      <c r="F338" s="56" t="str">
        <f t="shared" si="5"/>
        <v>061600812112025</v>
      </c>
      <c r="G338" s="54" t="s">
        <v>1123</v>
      </c>
      <c r="H338" s="54"/>
      <c r="I338" s="57"/>
    </row>
    <row r="339" spans="1:9" ht="25.5" x14ac:dyDescent="0.2">
      <c r="A339" s="53" t="s">
        <v>83</v>
      </c>
      <c r="B339" s="54" t="s">
        <v>1126</v>
      </c>
      <c r="C339" s="54" t="s">
        <v>1127</v>
      </c>
      <c r="D339" s="54" t="s">
        <v>1124</v>
      </c>
      <c r="E339" s="55" t="s">
        <v>440</v>
      </c>
      <c r="F339" s="56" t="str">
        <f t="shared" si="5"/>
        <v>061600812122025</v>
      </c>
      <c r="G339" s="54" t="s">
        <v>1132</v>
      </c>
      <c r="H339" s="54"/>
      <c r="I339" s="57"/>
    </row>
    <row r="340" spans="1:9" ht="25.5" x14ac:dyDescent="0.2">
      <c r="A340" s="53" t="s">
        <v>96</v>
      </c>
      <c r="B340" s="54" t="s">
        <v>1133</v>
      </c>
      <c r="C340" s="54" t="s">
        <v>1134</v>
      </c>
      <c r="D340" s="54" t="s">
        <v>1107</v>
      </c>
      <c r="E340" s="55" t="s">
        <v>396</v>
      </c>
      <c r="F340" s="56" t="str">
        <f t="shared" si="5"/>
        <v>061602112012025</v>
      </c>
      <c r="G340" s="54" t="s">
        <v>1017</v>
      </c>
      <c r="H340" s="54"/>
      <c r="I340" s="57"/>
    </row>
    <row r="341" spans="1:9" ht="25.5" x14ac:dyDescent="0.2">
      <c r="A341" s="53" t="s">
        <v>96</v>
      </c>
      <c r="B341" s="54" t="s">
        <v>1133</v>
      </c>
      <c r="C341" s="54" t="s">
        <v>1134</v>
      </c>
      <c r="D341" s="54" t="s">
        <v>1108</v>
      </c>
      <c r="E341" s="55" t="s">
        <v>400</v>
      </c>
      <c r="F341" s="56" t="str">
        <f t="shared" si="5"/>
        <v>061602112022025</v>
      </c>
      <c r="G341" s="54" t="s">
        <v>1082</v>
      </c>
      <c r="H341" s="54"/>
      <c r="I341" s="57"/>
    </row>
    <row r="342" spans="1:9" ht="25.5" x14ac:dyDescent="0.2">
      <c r="A342" s="53" t="s">
        <v>96</v>
      </c>
      <c r="B342" s="54" t="s">
        <v>1133</v>
      </c>
      <c r="C342" s="54" t="s">
        <v>1134</v>
      </c>
      <c r="D342" s="54" t="s">
        <v>1110</v>
      </c>
      <c r="E342" s="55" t="s">
        <v>404</v>
      </c>
      <c r="F342" s="56" t="str">
        <f t="shared" si="5"/>
        <v>061602112032025</v>
      </c>
      <c r="G342" s="54" t="s">
        <v>990</v>
      </c>
      <c r="H342" s="54"/>
      <c r="I342" s="57"/>
    </row>
    <row r="343" spans="1:9" ht="25.5" x14ac:dyDescent="0.2">
      <c r="A343" s="53" t="s">
        <v>96</v>
      </c>
      <c r="B343" s="54" t="s">
        <v>1133</v>
      </c>
      <c r="C343" s="54" t="s">
        <v>1134</v>
      </c>
      <c r="D343" s="54" t="s">
        <v>1111</v>
      </c>
      <c r="E343" s="55" t="s">
        <v>408</v>
      </c>
      <c r="F343" s="56" t="str">
        <f t="shared" si="5"/>
        <v>061602112042025</v>
      </c>
      <c r="G343" s="54" t="s">
        <v>1128</v>
      </c>
      <c r="H343" s="54"/>
      <c r="I343" s="57"/>
    </row>
    <row r="344" spans="1:9" ht="25.5" x14ac:dyDescent="0.2">
      <c r="A344" s="53" t="s">
        <v>96</v>
      </c>
      <c r="B344" s="54" t="s">
        <v>1133</v>
      </c>
      <c r="C344" s="54" t="s">
        <v>1134</v>
      </c>
      <c r="D344" s="54" t="s">
        <v>1113</v>
      </c>
      <c r="E344" s="55" t="s">
        <v>412</v>
      </c>
      <c r="F344" s="56" t="str">
        <f t="shared" si="5"/>
        <v>061602112052025</v>
      </c>
      <c r="G344" s="54" t="s">
        <v>1129</v>
      </c>
      <c r="H344" s="54"/>
      <c r="I344" s="57"/>
    </row>
    <row r="345" spans="1:9" ht="25.5" x14ac:dyDescent="0.2">
      <c r="A345" s="53" t="s">
        <v>96</v>
      </c>
      <c r="B345" s="54" t="s">
        <v>1133</v>
      </c>
      <c r="C345" s="54" t="s">
        <v>1134</v>
      </c>
      <c r="D345" s="54" t="s">
        <v>1115</v>
      </c>
      <c r="E345" s="55" t="s">
        <v>416</v>
      </c>
      <c r="F345" s="56" t="str">
        <f t="shared" si="5"/>
        <v>061602112062025</v>
      </c>
      <c r="G345" s="54" t="s">
        <v>1058</v>
      </c>
      <c r="H345" s="54"/>
      <c r="I345" s="57"/>
    </row>
    <row r="346" spans="1:9" ht="25.5" x14ac:dyDescent="0.2">
      <c r="A346" s="53" t="s">
        <v>96</v>
      </c>
      <c r="B346" s="54" t="s">
        <v>1133</v>
      </c>
      <c r="C346" s="54" t="s">
        <v>1134</v>
      </c>
      <c r="D346" s="54" t="s">
        <v>1116</v>
      </c>
      <c r="E346" s="55" t="s">
        <v>420</v>
      </c>
      <c r="F346" s="56" t="str">
        <f t="shared" si="5"/>
        <v>061602112072025</v>
      </c>
      <c r="G346" s="54" t="s">
        <v>1002</v>
      </c>
      <c r="H346" s="54"/>
      <c r="I346" s="57"/>
    </row>
    <row r="347" spans="1:9" ht="25.5" x14ac:dyDescent="0.2">
      <c r="A347" s="53" t="s">
        <v>96</v>
      </c>
      <c r="B347" s="54" t="s">
        <v>1133</v>
      </c>
      <c r="C347" s="54" t="s">
        <v>1134</v>
      </c>
      <c r="D347" s="54" t="s">
        <v>1117</v>
      </c>
      <c r="E347" s="55" t="s">
        <v>424</v>
      </c>
      <c r="F347" s="56" t="str">
        <f t="shared" si="5"/>
        <v>061602112082025</v>
      </c>
      <c r="G347" s="54" t="s">
        <v>1118</v>
      </c>
      <c r="H347" s="54"/>
      <c r="I347" s="57"/>
    </row>
    <row r="348" spans="1:9" ht="25.5" x14ac:dyDescent="0.2">
      <c r="A348" s="53" t="s">
        <v>96</v>
      </c>
      <c r="B348" s="54" t="s">
        <v>1133</v>
      </c>
      <c r="C348" s="54" t="s">
        <v>1134</v>
      </c>
      <c r="D348" s="54" t="s">
        <v>1119</v>
      </c>
      <c r="E348" s="55" t="s">
        <v>428</v>
      </c>
      <c r="F348" s="56" t="str">
        <f t="shared" si="5"/>
        <v>061602112092025</v>
      </c>
      <c r="G348" s="54" t="s">
        <v>1066</v>
      </c>
      <c r="H348" s="54"/>
      <c r="I348" s="57"/>
    </row>
    <row r="349" spans="1:9" ht="25.5" x14ac:dyDescent="0.2">
      <c r="A349" s="53" t="s">
        <v>96</v>
      </c>
      <c r="B349" s="54" t="s">
        <v>1133</v>
      </c>
      <c r="C349" s="54" t="s">
        <v>1134</v>
      </c>
      <c r="D349" s="54" t="s">
        <v>1120</v>
      </c>
      <c r="E349" s="55" t="s">
        <v>432</v>
      </c>
      <c r="F349" s="56" t="str">
        <f t="shared" si="5"/>
        <v>061602112102025</v>
      </c>
      <c r="G349" s="54" t="s">
        <v>1131</v>
      </c>
      <c r="H349" s="54"/>
      <c r="I349" s="57"/>
    </row>
    <row r="350" spans="1:9" ht="25.5" x14ac:dyDescent="0.2">
      <c r="A350" s="53" t="s">
        <v>96</v>
      </c>
      <c r="B350" s="54" t="s">
        <v>1133</v>
      </c>
      <c r="C350" s="54" t="s">
        <v>1134</v>
      </c>
      <c r="D350" s="54" t="s">
        <v>1122</v>
      </c>
      <c r="E350" s="55" t="s">
        <v>436</v>
      </c>
      <c r="F350" s="56" t="str">
        <f t="shared" si="5"/>
        <v>061602112112025</v>
      </c>
      <c r="G350" s="54" t="s">
        <v>1123</v>
      </c>
      <c r="H350" s="54"/>
      <c r="I350" s="57"/>
    </row>
    <row r="351" spans="1:9" ht="25.5" x14ac:dyDescent="0.2">
      <c r="A351" s="53" t="s">
        <v>96</v>
      </c>
      <c r="B351" s="54" t="s">
        <v>1133</v>
      </c>
      <c r="C351" s="54" t="s">
        <v>1134</v>
      </c>
      <c r="D351" s="54" t="s">
        <v>1124</v>
      </c>
      <c r="E351" s="55" t="s">
        <v>440</v>
      </c>
      <c r="F351" s="56" t="str">
        <f t="shared" si="5"/>
        <v>061602112122025</v>
      </c>
      <c r="G351" s="54" t="s">
        <v>1132</v>
      </c>
      <c r="H351" s="54"/>
      <c r="I351" s="57"/>
    </row>
    <row r="352" spans="1:9" x14ac:dyDescent="0.2">
      <c r="A352" s="53" t="s">
        <v>230</v>
      </c>
      <c r="B352" s="54" t="s">
        <v>1135</v>
      </c>
      <c r="C352" s="54" t="s">
        <v>1136</v>
      </c>
      <c r="D352" s="54" t="s">
        <v>1107</v>
      </c>
      <c r="E352" s="55" t="s">
        <v>396</v>
      </c>
      <c r="F352" s="56" t="str">
        <f t="shared" si="5"/>
        <v>061001012012025</v>
      </c>
      <c r="G352" s="54" t="s">
        <v>1011</v>
      </c>
      <c r="H352" s="54"/>
      <c r="I352" s="57"/>
    </row>
    <row r="353" spans="1:9" x14ac:dyDescent="0.2">
      <c r="A353" s="53" t="s">
        <v>230</v>
      </c>
      <c r="B353" s="54" t="s">
        <v>1135</v>
      </c>
      <c r="C353" s="54" t="s">
        <v>1136</v>
      </c>
      <c r="D353" s="54" t="s">
        <v>1108</v>
      </c>
      <c r="E353" s="55" t="s">
        <v>400</v>
      </c>
      <c r="F353" s="56" t="str">
        <f t="shared" si="5"/>
        <v>061001012022025</v>
      </c>
      <c r="G353" s="54" t="s">
        <v>1082</v>
      </c>
      <c r="H353" s="54"/>
      <c r="I353" s="57"/>
    </row>
    <row r="354" spans="1:9" x14ac:dyDescent="0.2">
      <c r="A354" s="53" t="s">
        <v>230</v>
      </c>
      <c r="B354" s="54" t="s">
        <v>1135</v>
      </c>
      <c r="C354" s="54" t="s">
        <v>1136</v>
      </c>
      <c r="D354" s="54" t="s">
        <v>1110</v>
      </c>
      <c r="E354" s="55" t="s">
        <v>404</v>
      </c>
      <c r="F354" s="56" t="str">
        <f t="shared" si="5"/>
        <v>061001012032025</v>
      </c>
      <c r="G354" s="54" t="s">
        <v>990</v>
      </c>
      <c r="H354" s="54"/>
      <c r="I354" s="57"/>
    </row>
    <row r="355" spans="1:9" x14ac:dyDescent="0.2">
      <c r="A355" s="53" t="s">
        <v>230</v>
      </c>
      <c r="B355" s="54" t="s">
        <v>1135</v>
      </c>
      <c r="C355" s="54" t="s">
        <v>1136</v>
      </c>
      <c r="D355" s="54" t="s">
        <v>1111</v>
      </c>
      <c r="E355" s="55" t="s">
        <v>408</v>
      </c>
      <c r="F355" s="56" t="str">
        <f t="shared" si="5"/>
        <v>061001012042025</v>
      </c>
      <c r="G355" s="54" t="s">
        <v>877</v>
      </c>
      <c r="H355" s="54"/>
      <c r="I355" s="57"/>
    </row>
    <row r="356" spans="1:9" x14ac:dyDescent="0.2">
      <c r="A356" s="53" t="s">
        <v>230</v>
      </c>
      <c r="B356" s="54" t="s">
        <v>1135</v>
      </c>
      <c r="C356" s="54" t="s">
        <v>1136</v>
      </c>
      <c r="D356" s="54" t="s">
        <v>1113</v>
      </c>
      <c r="E356" s="55" t="s">
        <v>412</v>
      </c>
      <c r="F356" s="56" t="str">
        <f t="shared" si="5"/>
        <v>061001012052025</v>
      </c>
      <c r="G356" s="54" t="s">
        <v>1137</v>
      </c>
      <c r="H356" s="54"/>
      <c r="I356" s="57"/>
    </row>
    <row r="357" spans="1:9" x14ac:dyDescent="0.2">
      <c r="A357" s="53" t="s">
        <v>230</v>
      </c>
      <c r="B357" s="54" t="s">
        <v>1135</v>
      </c>
      <c r="C357" s="54" t="s">
        <v>1136</v>
      </c>
      <c r="D357" s="54" t="s">
        <v>1115</v>
      </c>
      <c r="E357" s="55" t="s">
        <v>416</v>
      </c>
      <c r="F357" s="56" t="str">
        <f t="shared" si="5"/>
        <v>061001012062025</v>
      </c>
      <c r="G357" s="54" t="s">
        <v>992</v>
      </c>
      <c r="H357" s="54"/>
      <c r="I357" s="57"/>
    </row>
    <row r="358" spans="1:9" x14ac:dyDescent="0.2">
      <c r="A358" s="53" t="s">
        <v>230</v>
      </c>
      <c r="B358" s="54" t="s">
        <v>1135</v>
      </c>
      <c r="C358" s="54" t="s">
        <v>1136</v>
      </c>
      <c r="D358" s="54" t="s">
        <v>1116</v>
      </c>
      <c r="E358" s="55" t="s">
        <v>420</v>
      </c>
      <c r="F358" s="56" t="str">
        <f t="shared" si="5"/>
        <v>061001012072025</v>
      </c>
      <c r="G358" s="54" t="s">
        <v>1013</v>
      </c>
      <c r="H358" s="54"/>
      <c r="I358" s="57"/>
    </row>
    <row r="359" spans="1:9" x14ac:dyDescent="0.2">
      <c r="A359" s="53" t="s">
        <v>230</v>
      </c>
      <c r="B359" s="54" t="s">
        <v>1135</v>
      </c>
      <c r="C359" s="54" t="s">
        <v>1136</v>
      </c>
      <c r="D359" s="54" t="s">
        <v>1117</v>
      </c>
      <c r="E359" s="55" t="s">
        <v>424</v>
      </c>
      <c r="F359" s="56" t="str">
        <f t="shared" si="5"/>
        <v>061001012082025</v>
      </c>
      <c r="G359" s="54" t="s">
        <v>1118</v>
      </c>
      <c r="H359" s="54"/>
      <c r="I359" s="57"/>
    </row>
    <row r="360" spans="1:9" x14ac:dyDescent="0.2">
      <c r="A360" s="53" t="s">
        <v>230</v>
      </c>
      <c r="B360" s="54" t="s">
        <v>1135</v>
      </c>
      <c r="C360" s="54" t="s">
        <v>1136</v>
      </c>
      <c r="D360" s="54" t="s">
        <v>1119</v>
      </c>
      <c r="E360" s="55" t="s">
        <v>428</v>
      </c>
      <c r="F360" s="56" t="str">
        <f t="shared" si="5"/>
        <v>061001012092025</v>
      </c>
      <c r="G360" s="54" t="s">
        <v>995</v>
      </c>
      <c r="H360" s="54"/>
      <c r="I360" s="57"/>
    </row>
    <row r="361" spans="1:9" x14ac:dyDescent="0.2">
      <c r="A361" s="53" t="s">
        <v>230</v>
      </c>
      <c r="B361" s="54" t="s">
        <v>1135</v>
      </c>
      <c r="C361" s="54" t="s">
        <v>1136</v>
      </c>
      <c r="D361" s="54" t="s">
        <v>1120</v>
      </c>
      <c r="E361" s="55" t="s">
        <v>432</v>
      </c>
      <c r="F361" s="56" t="str">
        <f t="shared" si="5"/>
        <v>061001012102025</v>
      </c>
      <c r="G361" s="54" t="s">
        <v>1138</v>
      </c>
      <c r="H361" s="54"/>
      <c r="I361" s="57"/>
    </row>
    <row r="362" spans="1:9" x14ac:dyDescent="0.2">
      <c r="A362" s="53" t="s">
        <v>230</v>
      </c>
      <c r="B362" s="54" t="s">
        <v>1135</v>
      </c>
      <c r="C362" s="54" t="s">
        <v>1136</v>
      </c>
      <c r="D362" s="54" t="s">
        <v>1122</v>
      </c>
      <c r="E362" s="55" t="s">
        <v>436</v>
      </c>
      <c r="F362" s="56" t="str">
        <f t="shared" si="5"/>
        <v>061001012112025</v>
      </c>
      <c r="G362" s="54" t="s">
        <v>1123</v>
      </c>
      <c r="H362" s="54"/>
      <c r="I362" s="57"/>
    </row>
    <row r="363" spans="1:9" x14ac:dyDescent="0.2">
      <c r="A363" s="53" t="s">
        <v>230</v>
      </c>
      <c r="B363" s="54" t="s">
        <v>1135</v>
      </c>
      <c r="C363" s="54" t="s">
        <v>1136</v>
      </c>
      <c r="D363" s="54" t="s">
        <v>1124</v>
      </c>
      <c r="E363" s="55" t="s">
        <v>440</v>
      </c>
      <c r="F363" s="56" t="str">
        <f t="shared" si="5"/>
        <v>061001012122025</v>
      </c>
      <c r="G363" s="54" t="s">
        <v>480</v>
      </c>
      <c r="H363" s="54"/>
      <c r="I363" s="57"/>
    </row>
    <row r="364" spans="1:9" ht="25.5" x14ac:dyDescent="0.2">
      <c r="A364" s="53" t="s">
        <v>150</v>
      </c>
      <c r="B364" s="54" t="s">
        <v>151</v>
      </c>
      <c r="C364" s="54" t="s">
        <v>1139</v>
      </c>
      <c r="D364" s="54" t="s">
        <v>1107</v>
      </c>
      <c r="E364" s="55" t="s">
        <v>396</v>
      </c>
      <c r="F364" s="56" t="str">
        <f t="shared" si="5"/>
        <v>061505512012025</v>
      </c>
      <c r="G364" s="54" t="s">
        <v>1000</v>
      </c>
      <c r="H364" s="54"/>
      <c r="I364" s="57"/>
    </row>
    <row r="365" spans="1:9" x14ac:dyDescent="0.2">
      <c r="A365" s="53" t="s">
        <v>150</v>
      </c>
      <c r="B365" s="54" t="s">
        <v>151</v>
      </c>
      <c r="C365" s="54" t="s">
        <v>1139</v>
      </c>
      <c r="D365" s="54" t="s">
        <v>1108</v>
      </c>
      <c r="E365" s="55" t="s">
        <v>400</v>
      </c>
      <c r="F365" s="56" t="str">
        <f t="shared" si="5"/>
        <v>061505512022025</v>
      </c>
      <c r="G365" s="54" t="s">
        <v>1082</v>
      </c>
      <c r="H365" s="54"/>
      <c r="I365" s="57"/>
    </row>
    <row r="366" spans="1:9" x14ac:dyDescent="0.2">
      <c r="A366" s="53" t="s">
        <v>150</v>
      </c>
      <c r="B366" s="54" t="s">
        <v>151</v>
      </c>
      <c r="C366" s="54" t="s">
        <v>1139</v>
      </c>
      <c r="D366" s="54" t="s">
        <v>1110</v>
      </c>
      <c r="E366" s="55" t="s">
        <v>404</v>
      </c>
      <c r="F366" s="56" t="str">
        <f t="shared" si="5"/>
        <v>061505512032025</v>
      </c>
      <c r="G366" s="54" t="s">
        <v>990</v>
      </c>
      <c r="H366" s="54"/>
      <c r="I366" s="57"/>
    </row>
    <row r="367" spans="1:9" ht="25.5" x14ac:dyDescent="0.2">
      <c r="A367" s="53" t="s">
        <v>150</v>
      </c>
      <c r="B367" s="54" t="s">
        <v>151</v>
      </c>
      <c r="C367" s="54" t="s">
        <v>1139</v>
      </c>
      <c r="D367" s="54" t="s">
        <v>1111</v>
      </c>
      <c r="E367" s="55" t="s">
        <v>408</v>
      </c>
      <c r="F367" s="56" t="str">
        <f t="shared" si="5"/>
        <v>061505512042025</v>
      </c>
      <c r="G367" s="54" t="s">
        <v>1001</v>
      </c>
      <c r="H367" s="54"/>
      <c r="I367" s="57"/>
    </row>
    <row r="368" spans="1:9" ht="25.5" x14ac:dyDescent="0.2">
      <c r="A368" s="53" t="s">
        <v>150</v>
      </c>
      <c r="B368" s="54" t="s">
        <v>151</v>
      </c>
      <c r="C368" s="54" t="s">
        <v>1139</v>
      </c>
      <c r="D368" s="54" t="s">
        <v>1113</v>
      </c>
      <c r="E368" s="55" t="s">
        <v>412</v>
      </c>
      <c r="F368" s="56" t="str">
        <f t="shared" si="5"/>
        <v>061505512052025</v>
      </c>
      <c r="G368" s="54" t="s">
        <v>1129</v>
      </c>
      <c r="H368" s="54"/>
      <c r="I368" s="57"/>
    </row>
    <row r="369" spans="1:9" ht="25.5" x14ac:dyDescent="0.2">
      <c r="A369" s="53" t="s">
        <v>150</v>
      </c>
      <c r="B369" s="54" t="s">
        <v>151</v>
      </c>
      <c r="C369" s="54" t="s">
        <v>1139</v>
      </c>
      <c r="D369" s="54" t="s">
        <v>1115</v>
      </c>
      <c r="E369" s="55" t="s">
        <v>416</v>
      </c>
      <c r="F369" s="56" t="str">
        <f t="shared" si="5"/>
        <v>061505512062025</v>
      </c>
      <c r="G369" s="54" t="s">
        <v>1140</v>
      </c>
      <c r="H369" s="54"/>
      <c r="I369" s="57"/>
    </row>
    <row r="370" spans="1:9" ht="25.5" x14ac:dyDescent="0.2">
      <c r="A370" s="53" t="s">
        <v>150</v>
      </c>
      <c r="B370" s="54" t="s">
        <v>151</v>
      </c>
      <c r="C370" s="54" t="s">
        <v>1139</v>
      </c>
      <c r="D370" s="54" t="s">
        <v>1116</v>
      </c>
      <c r="E370" s="55" t="s">
        <v>420</v>
      </c>
      <c r="F370" s="56" t="str">
        <f t="shared" si="5"/>
        <v>061505512072025</v>
      </c>
      <c r="G370" s="54" t="s">
        <v>1002</v>
      </c>
      <c r="H370" s="54"/>
      <c r="I370" s="57"/>
    </row>
    <row r="371" spans="1:9" x14ac:dyDescent="0.2">
      <c r="A371" s="53" t="s">
        <v>150</v>
      </c>
      <c r="B371" s="54" t="s">
        <v>151</v>
      </c>
      <c r="C371" s="54" t="s">
        <v>1139</v>
      </c>
      <c r="D371" s="54" t="s">
        <v>1117</v>
      </c>
      <c r="E371" s="55" t="s">
        <v>424</v>
      </c>
      <c r="F371" s="56" t="str">
        <f t="shared" si="5"/>
        <v>061505512082025</v>
      </c>
      <c r="G371" s="54" t="s">
        <v>1118</v>
      </c>
      <c r="H371" s="54"/>
      <c r="I371" s="57"/>
    </row>
    <row r="372" spans="1:9" ht="25.5" x14ac:dyDescent="0.2">
      <c r="A372" s="53" t="s">
        <v>150</v>
      </c>
      <c r="B372" s="54" t="s">
        <v>151</v>
      </c>
      <c r="C372" s="54" t="s">
        <v>1139</v>
      </c>
      <c r="D372" s="54" t="s">
        <v>1119</v>
      </c>
      <c r="E372" s="55" t="s">
        <v>428</v>
      </c>
      <c r="F372" s="56" t="str">
        <f t="shared" si="5"/>
        <v>061505512092025</v>
      </c>
      <c r="G372" s="54" t="s">
        <v>1066</v>
      </c>
      <c r="H372" s="54"/>
      <c r="I372" s="57"/>
    </row>
    <row r="373" spans="1:9" ht="25.5" x14ac:dyDescent="0.2">
      <c r="A373" s="53" t="s">
        <v>150</v>
      </c>
      <c r="B373" s="54" t="s">
        <v>151</v>
      </c>
      <c r="C373" s="54" t="s">
        <v>1139</v>
      </c>
      <c r="D373" s="54" t="s">
        <v>1120</v>
      </c>
      <c r="E373" s="55" t="s">
        <v>432</v>
      </c>
      <c r="F373" s="56" t="str">
        <f t="shared" si="5"/>
        <v>061505512102025</v>
      </c>
      <c r="G373" s="54" t="s">
        <v>1131</v>
      </c>
      <c r="H373" s="54"/>
      <c r="I373" s="57"/>
    </row>
    <row r="374" spans="1:9" x14ac:dyDescent="0.2">
      <c r="A374" s="53" t="s">
        <v>150</v>
      </c>
      <c r="B374" s="54" t="s">
        <v>151</v>
      </c>
      <c r="C374" s="54" t="s">
        <v>1139</v>
      </c>
      <c r="D374" s="54" t="s">
        <v>1122</v>
      </c>
      <c r="E374" s="55" t="s">
        <v>436</v>
      </c>
      <c r="F374" s="56" t="str">
        <f t="shared" si="5"/>
        <v>061505512112025</v>
      </c>
      <c r="G374" s="54" t="s">
        <v>1123</v>
      </c>
      <c r="H374" s="54"/>
      <c r="I374" s="57"/>
    </row>
    <row r="375" spans="1:9" ht="25.5" x14ac:dyDescent="0.2">
      <c r="A375" s="53" t="s">
        <v>150</v>
      </c>
      <c r="B375" s="54" t="s">
        <v>151</v>
      </c>
      <c r="C375" s="54" t="s">
        <v>1139</v>
      </c>
      <c r="D375" s="54" t="s">
        <v>1124</v>
      </c>
      <c r="E375" s="55" t="s">
        <v>440</v>
      </c>
      <c r="F375" s="56" t="str">
        <f t="shared" si="5"/>
        <v>061505512122025</v>
      </c>
      <c r="G375" s="54" t="s">
        <v>1132</v>
      </c>
      <c r="H375" s="54"/>
      <c r="I375" s="57"/>
    </row>
    <row r="376" spans="1:9" ht="25.5" x14ac:dyDescent="0.2">
      <c r="A376" s="53" t="s">
        <v>170</v>
      </c>
      <c r="B376" s="54" t="s">
        <v>1141</v>
      </c>
      <c r="C376" s="54" t="s">
        <v>1142</v>
      </c>
      <c r="D376" s="54" t="s">
        <v>1107</v>
      </c>
      <c r="E376" s="55" t="s">
        <v>396</v>
      </c>
      <c r="F376" s="56" t="str">
        <f t="shared" si="5"/>
        <v>061000112012025</v>
      </c>
      <c r="G376" s="54" t="s">
        <v>1011</v>
      </c>
      <c r="H376" s="54"/>
      <c r="I376" s="57"/>
    </row>
    <row r="377" spans="1:9" ht="25.5" x14ac:dyDescent="0.2">
      <c r="A377" s="53" t="s">
        <v>170</v>
      </c>
      <c r="B377" s="54" t="s">
        <v>1141</v>
      </c>
      <c r="C377" s="54" t="s">
        <v>1142</v>
      </c>
      <c r="D377" s="54" t="s">
        <v>1108</v>
      </c>
      <c r="E377" s="55" t="s">
        <v>400</v>
      </c>
      <c r="F377" s="56" t="str">
        <f t="shared" si="5"/>
        <v>061000112022025</v>
      </c>
      <c r="G377" s="54" t="s">
        <v>1082</v>
      </c>
      <c r="H377" s="54"/>
      <c r="I377" s="57"/>
    </row>
    <row r="378" spans="1:9" ht="25.5" x14ac:dyDescent="0.2">
      <c r="A378" s="53" t="s">
        <v>170</v>
      </c>
      <c r="B378" s="54" t="s">
        <v>1141</v>
      </c>
      <c r="C378" s="54" t="s">
        <v>1142</v>
      </c>
      <c r="D378" s="54" t="s">
        <v>1110</v>
      </c>
      <c r="E378" s="55" t="s">
        <v>404</v>
      </c>
      <c r="F378" s="56" t="str">
        <f t="shared" si="5"/>
        <v>061000112032025</v>
      </c>
      <c r="G378" s="54" t="s">
        <v>990</v>
      </c>
      <c r="H378" s="54"/>
      <c r="I378" s="57"/>
    </row>
    <row r="379" spans="1:9" ht="25.5" x14ac:dyDescent="0.2">
      <c r="A379" s="53" t="s">
        <v>170</v>
      </c>
      <c r="B379" s="54" t="s">
        <v>1141</v>
      </c>
      <c r="C379" s="54" t="s">
        <v>1142</v>
      </c>
      <c r="D379" s="54" t="s">
        <v>1111</v>
      </c>
      <c r="E379" s="55" t="s">
        <v>408</v>
      </c>
      <c r="F379" s="56" t="str">
        <f t="shared" si="5"/>
        <v>061000112042025</v>
      </c>
      <c r="G379" s="54" t="s">
        <v>877</v>
      </c>
      <c r="H379" s="54"/>
      <c r="I379" s="57"/>
    </row>
    <row r="380" spans="1:9" ht="25.5" x14ac:dyDescent="0.2">
      <c r="A380" s="53" t="s">
        <v>170</v>
      </c>
      <c r="B380" s="54" t="s">
        <v>1141</v>
      </c>
      <c r="C380" s="54" t="s">
        <v>1142</v>
      </c>
      <c r="D380" s="54" t="s">
        <v>1113</v>
      </c>
      <c r="E380" s="55" t="s">
        <v>412</v>
      </c>
      <c r="F380" s="56" t="str">
        <f t="shared" si="5"/>
        <v>061000112052025</v>
      </c>
      <c r="G380" s="54" t="s">
        <v>1137</v>
      </c>
      <c r="H380" s="54"/>
      <c r="I380" s="57"/>
    </row>
    <row r="381" spans="1:9" ht="25.5" x14ac:dyDescent="0.2">
      <c r="A381" s="53" t="s">
        <v>170</v>
      </c>
      <c r="B381" s="54" t="s">
        <v>1141</v>
      </c>
      <c r="C381" s="54" t="s">
        <v>1142</v>
      </c>
      <c r="D381" s="54" t="s">
        <v>1115</v>
      </c>
      <c r="E381" s="55" t="s">
        <v>416</v>
      </c>
      <c r="F381" s="56" t="str">
        <f t="shared" si="5"/>
        <v>061000112062025</v>
      </c>
      <c r="G381" s="54" t="s">
        <v>992</v>
      </c>
      <c r="H381" s="54"/>
      <c r="I381" s="57"/>
    </row>
    <row r="382" spans="1:9" ht="25.5" x14ac:dyDescent="0.2">
      <c r="A382" s="53" t="s">
        <v>170</v>
      </c>
      <c r="B382" s="54" t="s">
        <v>1141</v>
      </c>
      <c r="C382" s="54" t="s">
        <v>1142</v>
      </c>
      <c r="D382" s="54" t="s">
        <v>1116</v>
      </c>
      <c r="E382" s="55" t="s">
        <v>420</v>
      </c>
      <c r="F382" s="56" t="str">
        <f t="shared" si="5"/>
        <v>061000112072025</v>
      </c>
      <c r="G382" s="54" t="s">
        <v>1013</v>
      </c>
      <c r="H382" s="54"/>
      <c r="I382" s="57"/>
    </row>
    <row r="383" spans="1:9" ht="25.5" x14ac:dyDescent="0.2">
      <c r="A383" s="53" t="s">
        <v>170</v>
      </c>
      <c r="B383" s="54" t="s">
        <v>1141</v>
      </c>
      <c r="C383" s="54" t="s">
        <v>1142</v>
      </c>
      <c r="D383" s="54" t="s">
        <v>1117</v>
      </c>
      <c r="E383" s="55" t="s">
        <v>424</v>
      </c>
      <c r="F383" s="56" t="str">
        <f t="shared" si="5"/>
        <v>061000112082025</v>
      </c>
      <c r="G383" s="54" t="s">
        <v>1118</v>
      </c>
      <c r="H383" s="54"/>
      <c r="I383" s="57"/>
    </row>
    <row r="384" spans="1:9" ht="25.5" x14ac:dyDescent="0.2">
      <c r="A384" s="53" t="s">
        <v>170</v>
      </c>
      <c r="B384" s="54" t="s">
        <v>1141</v>
      </c>
      <c r="C384" s="54" t="s">
        <v>1142</v>
      </c>
      <c r="D384" s="54" t="s">
        <v>1119</v>
      </c>
      <c r="E384" s="55" t="s">
        <v>428</v>
      </c>
      <c r="F384" s="56" t="str">
        <f t="shared" si="5"/>
        <v>061000112092025</v>
      </c>
      <c r="G384" s="54" t="s">
        <v>995</v>
      </c>
      <c r="H384" s="54"/>
      <c r="I384" s="57"/>
    </row>
    <row r="385" spans="1:9" ht="25.5" x14ac:dyDescent="0.2">
      <c r="A385" s="53" t="s">
        <v>170</v>
      </c>
      <c r="B385" s="54" t="s">
        <v>1141</v>
      </c>
      <c r="C385" s="54" t="s">
        <v>1142</v>
      </c>
      <c r="D385" s="54" t="s">
        <v>1120</v>
      </c>
      <c r="E385" s="55" t="s">
        <v>432</v>
      </c>
      <c r="F385" s="56" t="str">
        <f t="shared" si="5"/>
        <v>061000112102025</v>
      </c>
      <c r="G385" s="54" t="s">
        <v>1121</v>
      </c>
      <c r="H385" s="54"/>
      <c r="I385" s="57"/>
    </row>
    <row r="386" spans="1:9" ht="25.5" x14ac:dyDescent="0.2">
      <c r="A386" s="53" t="s">
        <v>170</v>
      </c>
      <c r="B386" s="54" t="s">
        <v>1141</v>
      </c>
      <c r="C386" s="54" t="s">
        <v>1142</v>
      </c>
      <c r="D386" s="54" t="s">
        <v>1122</v>
      </c>
      <c r="E386" s="55" t="s">
        <v>436</v>
      </c>
      <c r="F386" s="56" t="str">
        <f t="shared" si="5"/>
        <v>061000112112025</v>
      </c>
      <c r="G386" s="54" t="s">
        <v>1123</v>
      </c>
      <c r="H386" s="54"/>
      <c r="I386" s="57"/>
    </row>
    <row r="387" spans="1:9" ht="25.5" x14ac:dyDescent="0.2">
      <c r="A387" s="53" t="s">
        <v>170</v>
      </c>
      <c r="B387" s="54" t="s">
        <v>1141</v>
      </c>
      <c r="C387" s="54" t="s">
        <v>1142</v>
      </c>
      <c r="D387" s="54" t="s">
        <v>1124</v>
      </c>
      <c r="E387" s="55" t="s">
        <v>440</v>
      </c>
      <c r="F387" s="56" t="str">
        <f t="shared" ref="F387:F450" si="6">CONCATENATE(A387,E387)</f>
        <v>061000112122025</v>
      </c>
      <c r="G387" s="54" t="s">
        <v>480</v>
      </c>
      <c r="H387" s="54"/>
      <c r="I387" s="57"/>
    </row>
    <row r="388" spans="1:9" ht="25.5" x14ac:dyDescent="0.2">
      <c r="A388" s="53" t="s">
        <v>48</v>
      </c>
      <c r="B388" s="54" t="s">
        <v>49</v>
      </c>
      <c r="C388" s="54" t="s">
        <v>1143</v>
      </c>
      <c r="D388" s="54" t="s">
        <v>1107</v>
      </c>
      <c r="E388" s="55" t="s">
        <v>396</v>
      </c>
      <c r="F388" s="56" t="str">
        <f t="shared" si="6"/>
        <v>060922412012025</v>
      </c>
      <c r="G388" s="54" t="s">
        <v>1011</v>
      </c>
      <c r="H388" s="54"/>
      <c r="I388" s="57"/>
    </row>
    <row r="389" spans="1:9" ht="25.5" x14ac:dyDescent="0.2">
      <c r="A389" s="53" t="s">
        <v>48</v>
      </c>
      <c r="B389" s="54" t="s">
        <v>49</v>
      </c>
      <c r="C389" s="54" t="s">
        <v>1143</v>
      </c>
      <c r="D389" s="54" t="s">
        <v>1108</v>
      </c>
      <c r="E389" s="55" t="s">
        <v>400</v>
      </c>
      <c r="F389" s="56" t="str">
        <f t="shared" si="6"/>
        <v>060922412022025</v>
      </c>
      <c r="G389" s="54" t="s">
        <v>1144</v>
      </c>
      <c r="H389" s="54"/>
      <c r="I389" s="57"/>
    </row>
    <row r="390" spans="1:9" ht="25.5" x14ac:dyDescent="0.2">
      <c r="A390" s="53" t="s">
        <v>48</v>
      </c>
      <c r="B390" s="54" t="s">
        <v>49</v>
      </c>
      <c r="C390" s="54" t="s">
        <v>1143</v>
      </c>
      <c r="D390" s="54" t="s">
        <v>1110</v>
      </c>
      <c r="E390" s="55" t="s">
        <v>404</v>
      </c>
      <c r="F390" s="56" t="str">
        <f t="shared" si="6"/>
        <v>060922412032025</v>
      </c>
      <c r="G390" s="54" t="s">
        <v>990</v>
      </c>
      <c r="H390" s="54"/>
      <c r="I390" s="57"/>
    </row>
    <row r="391" spans="1:9" ht="25.5" x14ac:dyDescent="0.2">
      <c r="A391" s="53" t="s">
        <v>48</v>
      </c>
      <c r="B391" s="54" t="s">
        <v>49</v>
      </c>
      <c r="C391" s="54" t="s">
        <v>1143</v>
      </c>
      <c r="D391" s="54" t="s">
        <v>1111</v>
      </c>
      <c r="E391" s="55" t="s">
        <v>408</v>
      </c>
      <c r="F391" s="56" t="str">
        <f t="shared" si="6"/>
        <v>060922412042025</v>
      </c>
      <c r="G391" s="54" t="s">
        <v>877</v>
      </c>
      <c r="H391" s="54"/>
      <c r="I391" s="57"/>
    </row>
    <row r="392" spans="1:9" ht="25.5" x14ac:dyDescent="0.2">
      <c r="A392" s="53" t="s">
        <v>48</v>
      </c>
      <c r="B392" s="54" t="s">
        <v>49</v>
      </c>
      <c r="C392" s="54" t="s">
        <v>1143</v>
      </c>
      <c r="D392" s="54" t="s">
        <v>1113</v>
      </c>
      <c r="E392" s="55" t="s">
        <v>412</v>
      </c>
      <c r="F392" s="56" t="str">
        <f t="shared" si="6"/>
        <v>060922412052025</v>
      </c>
      <c r="G392" s="54" t="s">
        <v>1145</v>
      </c>
      <c r="H392" s="54"/>
      <c r="I392" s="57"/>
    </row>
    <row r="393" spans="1:9" ht="25.5" x14ac:dyDescent="0.2">
      <c r="A393" s="53" t="s">
        <v>48</v>
      </c>
      <c r="B393" s="54" t="s">
        <v>49</v>
      </c>
      <c r="C393" s="54" t="s">
        <v>1143</v>
      </c>
      <c r="D393" s="54" t="s">
        <v>1115</v>
      </c>
      <c r="E393" s="55" t="s">
        <v>416</v>
      </c>
      <c r="F393" s="56" t="str">
        <f t="shared" si="6"/>
        <v>060922412062025</v>
      </c>
      <c r="G393" s="54" t="s">
        <v>992</v>
      </c>
      <c r="H393" s="54"/>
      <c r="I393" s="57"/>
    </row>
    <row r="394" spans="1:9" ht="25.5" x14ac:dyDescent="0.2">
      <c r="A394" s="53" t="s">
        <v>48</v>
      </c>
      <c r="B394" s="54" t="s">
        <v>49</v>
      </c>
      <c r="C394" s="54" t="s">
        <v>1143</v>
      </c>
      <c r="D394" s="54" t="s">
        <v>1116</v>
      </c>
      <c r="E394" s="55" t="s">
        <v>420</v>
      </c>
      <c r="F394" s="56" t="str">
        <f t="shared" si="6"/>
        <v>060922412072025</v>
      </c>
      <c r="G394" s="54" t="s">
        <v>1146</v>
      </c>
      <c r="H394" s="54"/>
      <c r="I394" s="57"/>
    </row>
    <row r="395" spans="1:9" ht="25.5" x14ac:dyDescent="0.2">
      <c r="A395" s="53" t="s">
        <v>48</v>
      </c>
      <c r="B395" s="54" t="s">
        <v>49</v>
      </c>
      <c r="C395" s="54" t="s">
        <v>1143</v>
      </c>
      <c r="D395" s="54" t="s">
        <v>1117</v>
      </c>
      <c r="E395" s="55" t="s">
        <v>424</v>
      </c>
      <c r="F395" s="56" t="str">
        <f t="shared" si="6"/>
        <v>060922412082025</v>
      </c>
      <c r="G395" s="54" t="s">
        <v>1118</v>
      </c>
      <c r="H395" s="54"/>
      <c r="I395" s="57"/>
    </row>
    <row r="396" spans="1:9" ht="25.5" x14ac:dyDescent="0.2">
      <c r="A396" s="53" t="s">
        <v>48</v>
      </c>
      <c r="B396" s="54" t="s">
        <v>49</v>
      </c>
      <c r="C396" s="54" t="s">
        <v>1143</v>
      </c>
      <c r="D396" s="54" t="s">
        <v>1119</v>
      </c>
      <c r="E396" s="55" t="s">
        <v>428</v>
      </c>
      <c r="F396" s="56" t="str">
        <f t="shared" si="6"/>
        <v>060922412092025</v>
      </c>
      <c r="G396" s="54" t="s">
        <v>995</v>
      </c>
      <c r="H396" s="54"/>
      <c r="I396" s="57"/>
    </row>
    <row r="397" spans="1:9" ht="25.5" x14ac:dyDescent="0.2">
      <c r="A397" s="53" t="s">
        <v>48</v>
      </c>
      <c r="B397" s="54" t="s">
        <v>49</v>
      </c>
      <c r="C397" s="54" t="s">
        <v>1143</v>
      </c>
      <c r="D397" s="54" t="s">
        <v>1120</v>
      </c>
      <c r="E397" s="55" t="s">
        <v>432</v>
      </c>
      <c r="F397" s="56" t="str">
        <f t="shared" si="6"/>
        <v>060922412102025</v>
      </c>
      <c r="G397" s="54" t="s">
        <v>1147</v>
      </c>
      <c r="H397" s="54"/>
      <c r="I397" s="57"/>
    </row>
    <row r="398" spans="1:9" ht="25.5" x14ac:dyDescent="0.2">
      <c r="A398" s="53" t="s">
        <v>48</v>
      </c>
      <c r="B398" s="54" t="s">
        <v>49</v>
      </c>
      <c r="C398" s="54" t="s">
        <v>1143</v>
      </c>
      <c r="D398" s="54" t="s">
        <v>1122</v>
      </c>
      <c r="E398" s="55" t="s">
        <v>436</v>
      </c>
      <c r="F398" s="56" t="str">
        <f t="shared" si="6"/>
        <v>060922412112025</v>
      </c>
      <c r="G398" s="54" t="s">
        <v>1123</v>
      </c>
      <c r="H398" s="54"/>
      <c r="I398" s="57"/>
    </row>
    <row r="399" spans="1:9" ht="25.5" x14ac:dyDescent="0.2">
      <c r="A399" s="53" t="s">
        <v>48</v>
      </c>
      <c r="B399" s="54" t="s">
        <v>49</v>
      </c>
      <c r="C399" s="54" t="s">
        <v>1143</v>
      </c>
      <c r="D399" s="54" t="s">
        <v>1124</v>
      </c>
      <c r="E399" s="55" t="s">
        <v>440</v>
      </c>
      <c r="F399" s="56" t="str">
        <f t="shared" si="6"/>
        <v>060922412122025</v>
      </c>
      <c r="G399" s="54" t="s">
        <v>1019</v>
      </c>
      <c r="H399" s="54"/>
      <c r="I399" s="57"/>
    </row>
    <row r="400" spans="1:9" ht="25.5" x14ac:dyDescent="0.2">
      <c r="A400" s="53" t="s">
        <v>1148</v>
      </c>
      <c r="B400" s="54" t="s">
        <v>1149</v>
      </c>
      <c r="C400" s="54" t="s">
        <v>1150</v>
      </c>
      <c r="D400" s="54" t="s">
        <v>1107</v>
      </c>
      <c r="E400" s="55" t="s">
        <v>396</v>
      </c>
      <c r="F400" s="56" t="str">
        <f t="shared" si="6"/>
        <v>061513012012025</v>
      </c>
      <c r="G400" s="54" t="s">
        <v>1000</v>
      </c>
      <c r="H400" s="54"/>
      <c r="I400" s="57"/>
    </row>
    <row r="401" spans="1:9" x14ac:dyDescent="0.2">
      <c r="A401" s="53" t="s">
        <v>1148</v>
      </c>
      <c r="B401" s="54" t="s">
        <v>1149</v>
      </c>
      <c r="C401" s="54" t="s">
        <v>1150</v>
      </c>
      <c r="D401" s="54" t="s">
        <v>1108</v>
      </c>
      <c r="E401" s="55" t="s">
        <v>400</v>
      </c>
      <c r="F401" s="56" t="str">
        <f t="shared" si="6"/>
        <v>061513012022025</v>
      </c>
      <c r="G401" s="54" t="s">
        <v>1082</v>
      </c>
      <c r="H401" s="54"/>
      <c r="I401" s="57"/>
    </row>
    <row r="402" spans="1:9" x14ac:dyDescent="0.2">
      <c r="A402" s="53" t="s">
        <v>1148</v>
      </c>
      <c r="B402" s="54" t="s">
        <v>1149</v>
      </c>
      <c r="C402" s="54" t="s">
        <v>1150</v>
      </c>
      <c r="D402" s="54" t="s">
        <v>1110</v>
      </c>
      <c r="E402" s="55" t="s">
        <v>404</v>
      </c>
      <c r="F402" s="56" t="str">
        <f t="shared" si="6"/>
        <v>061513012032025</v>
      </c>
      <c r="G402" s="54" t="s">
        <v>990</v>
      </c>
      <c r="H402" s="54"/>
      <c r="I402" s="57"/>
    </row>
    <row r="403" spans="1:9" ht="25.5" x14ac:dyDescent="0.2">
      <c r="A403" s="53" t="s">
        <v>1148</v>
      </c>
      <c r="B403" s="54" t="s">
        <v>1149</v>
      </c>
      <c r="C403" s="54" t="s">
        <v>1150</v>
      </c>
      <c r="D403" s="54" t="s">
        <v>1111</v>
      </c>
      <c r="E403" s="55" t="s">
        <v>408</v>
      </c>
      <c r="F403" s="56" t="str">
        <f t="shared" si="6"/>
        <v>061513012042025</v>
      </c>
      <c r="G403" s="54" t="s">
        <v>1001</v>
      </c>
      <c r="H403" s="54"/>
      <c r="I403" s="57"/>
    </row>
    <row r="404" spans="1:9" ht="25.5" x14ac:dyDescent="0.2">
      <c r="A404" s="53" t="s">
        <v>1148</v>
      </c>
      <c r="B404" s="54" t="s">
        <v>1149</v>
      </c>
      <c r="C404" s="54" t="s">
        <v>1150</v>
      </c>
      <c r="D404" s="54" t="s">
        <v>1113</v>
      </c>
      <c r="E404" s="55" t="s">
        <v>412</v>
      </c>
      <c r="F404" s="56" t="str">
        <f t="shared" si="6"/>
        <v>061513012052025</v>
      </c>
      <c r="G404" s="54" t="s">
        <v>1129</v>
      </c>
      <c r="H404" s="54"/>
      <c r="I404" s="57"/>
    </row>
    <row r="405" spans="1:9" ht="25.5" x14ac:dyDescent="0.2">
      <c r="A405" s="53" t="s">
        <v>1148</v>
      </c>
      <c r="B405" s="54" t="s">
        <v>1149</v>
      </c>
      <c r="C405" s="54" t="s">
        <v>1150</v>
      </c>
      <c r="D405" s="54" t="s">
        <v>1115</v>
      </c>
      <c r="E405" s="55" t="s">
        <v>416</v>
      </c>
      <c r="F405" s="56" t="str">
        <f t="shared" si="6"/>
        <v>061513012062025</v>
      </c>
      <c r="G405" s="54" t="s">
        <v>1058</v>
      </c>
      <c r="H405" s="54"/>
      <c r="I405" s="57"/>
    </row>
    <row r="406" spans="1:9" ht="25.5" x14ac:dyDescent="0.2">
      <c r="A406" s="53" t="s">
        <v>1148</v>
      </c>
      <c r="B406" s="54" t="s">
        <v>1149</v>
      </c>
      <c r="C406" s="54" t="s">
        <v>1150</v>
      </c>
      <c r="D406" s="54" t="s">
        <v>1116</v>
      </c>
      <c r="E406" s="55" t="s">
        <v>420</v>
      </c>
      <c r="F406" s="56" t="str">
        <f t="shared" si="6"/>
        <v>061513012072025</v>
      </c>
      <c r="G406" s="54" t="s">
        <v>1002</v>
      </c>
      <c r="H406" s="54"/>
      <c r="I406" s="57"/>
    </row>
    <row r="407" spans="1:9" x14ac:dyDescent="0.2">
      <c r="A407" s="53" t="s">
        <v>1148</v>
      </c>
      <c r="B407" s="54" t="s">
        <v>1149</v>
      </c>
      <c r="C407" s="54" t="s">
        <v>1150</v>
      </c>
      <c r="D407" s="54" t="s">
        <v>1117</v>
      </c>
      <c r="E407" s="55" t="s">
        <v>424</v>
      </c>
      <c r="F407" s="56" t="str">
        <f t="shared" si="6"/>
        <v>061513012082025</v>
      </c>
      <c r="G407" s="54" t="s">
        <v>1118</v>
      </c>
      <c r="H407" s="54"/>
      <c r="I407" s="57"/>
    </row>
    <row r="408" spans="1:9" ht="25.5" x14ac:dyDescent="0.2">
      <c r="A408" s="53" t="s">
        <v>1148</v>
      </c>
      <c r="B408" s="54" t="s">
        <v>1149</v>
      </c>
      <c r="C408" s="54" t="s">
        <v>1150</v>
      </c>
      <c r="D408" s="54" t="s">
        <v>1119</v>
      </c>
      <c r="E408" s="55" t="s">
        <v>428</v>
      </c>
      <c r="F408" s="56" t="str">
        <f t="shared" si="6"/>
        <v>061513012092025</v>
      </c>
      <c r="G408" s="54" t="s">
        <v>1066</v>
      </c>
      <c r="H408" s="54"/>
      <c r="I408" s="57"/>
    </row>
    <row r="409" spans="1:9" ht="25.5" x14ac:dyDescent="0.2">
      <c r="A409" s="53" t="s">
        <v>1148</v>
      </c>
      <c r="B409" s="54" t="s">
        <v>1149</v>
      </c>
      <c r="C409" s="54" t="s">
        <v>1150</v>
      </c>
      <c r="D409" s="54" t="s">
        <v>1120</v>
      </c>
      <c r="E409" s="55" t="s">
        <v>432</v>
      </c>
      <c r="F409" s="56" t="str">
        <f t="shared" si="6"/>
        <v>061513012102025</v>
      </c>
      <c r="G409" s="54" t="s">
        <v>1131</v>
      </c>
      <c r="H409" s="54"/>
      <c r="I409" s="57"/>
    </row>
    <row r="410" spans="1:9" x14ac:dyDescent="0.2">
      <c r="A410" s="53" t="s">
        <v>1148</v>
      </c>
      <c r="B410" s="54" t="s">
        <v>1149</v>
      </c>
      <c r="C410" s="54" t="s">
        <v>1150</v>
      </c>
      <c r="D410" s="54" t="s">
        <v>1122</v>
      </c>
      <c r="E410" s="55" t="s">
        <v>436</v>
      </c>
      <c r="F410" s="56" t="str">
        <f t="shared" si="6"/>
        <v>061513012112025</v>
      </c>
      <c r="G410" s="54" t="s">
        <v>1123</v>
      </c>
      <c r="H410" s="54"/>
      <c r="I410" s="57"/>
    </row>
    <row r="411" spans="1:9" ht="25.5" x14ac:dyDescent="0.2">
      <c r="A411" s="53" t="s">
        <v>1148</v>
      </c>
      <c r="B411" s="54" t="s">
        <v>1149</v>
      </c>
      <c r="C411" s="54" t="s">
        <v>1150</v>
      </c>
      <c r="D411" s="54" t="s">
        <v>1124</v>
      </c>
      <c r="E411" s="55" t="s">
        <v>440</v>
      </c>
      <c r="F411" s="56" t="str">
        <f t="shared" si="6"/>
        <v>061513012122025</v>
      </c>
      <c r="G411" s="54" t="s">
        <v>1132</v>
      </c>
      <c r="H411" s="54"/>
      <c r="I411" s="57"/>
    </row>
    <row r="412" spans="1:9" x14ac:dyDescent="0.2">
      <c r="A412" s="53" t="s">
        <v>161</v>
      </c>
      <c r="B412" s="54" t="s">
        <v>1151</v>
      </c>
      <c r="C412" s="54" t="s">
        <v>1152</v>
      </c>
      <c r="D412" s="54" t="s">
        <v>1107</v>
      </c>
      <c r="E412" s="55" t="s">
        <v>396</v>
      </c>
      <c r="F412" s="56" t="str">
        <f t="shared" si="6"/>
        <v>061304312012025</v>
      </c>
      <c r="G412" s="54" t="s">
        <v>1153</v>
      </c>
      <c r="H412" s="54"/>
      <c r="I412" s="57"/>
    </row>
    <row r="413" spans="1:9" x14ac:dyDescent="0.2">
      <c r="A413" s="53" t="s">
        <v>161</v>
      </c>
      <c r="B413" s="54" t="s">
        <v>1151</v>
      </c>
      <c r="C413" s="54" t="s">
        <v>1152</v>
      </c>
      <c r="D413" s="54" t="s">
        <v>1108</v>
      </c>
      <c r="E413" s="55" t="s">
        <v>400</v>
      </c>
      <c r="F413" s="56" t="str">
        <f t="shared" si="6"/>
        <v>061304312022025</v>
      </c>
      <c r="G413" s="54" t="s">
        <v>1154</v>
      </c>
      <c r="H413" s="54"/>
      <c r="I413" s="57"/>
    </row>
    <row r="414" spans="1:9" x14ac:dyDescent="0.2">
      <c r="A414" s="53" t="s">
        <v>161</v>
      </c>
      <c r="B414" s="54" t="s">
        <v>1151</v>
      </c>
      <c r="C414" s="54" t="s">
        <v>1152</v>
      </c>
      <c r="D414" s="54" t="s">
        <v>1110</v>
      </c>
      <c r="E414" s="55" t="s">
        <v>404</v>
      </c>
      <c r="F414" s="56" t="str">
        <f t="shared" si="6"/>
        <v>061304312032025</v>
      </c>
      <c r="G414" s="54" t="s">
        <v>990</v>
      </c>
      <c r="H414" s="54"/>
      <c r="I414" s="57"/>
    </row>
    <row r="415" spans="1:9" x14ac:dyDescent="0.2">
      <c r="A415" s="53" t="s">
        <v>161</v>
      </c>
      <c r="B415" s="54" t="s">
        <v>1151</v>
      </c>
      <c r="C415" s="54" t="s">
        <v>1152</v>
      </c>
      <c r="D415" s="54" t="s">
        <v>1111</v>
      </c>
      <c r="E415" s="55" t="s">
        <v>408</v>
      </c>
      <c r="F415" s="56" t="str">
        <f t="shared" si="6"/>
        <v>061304312042025</v>
      </c>
      <c r="G415" s="54" t="s">
        <v>1112</v>
      </c>
      <c r="H415" s="54"/>
      <c r="I415" s="57"/>
    </row>
    <row r="416" spans="1:9" x14ac:dyDescent="0.2">
      <c r="A416" s="53" t="s">
        <v>161</v>
      </c>
      <c r="B416" s="54" t="s">
        <v>1151</v>
      </c>
      <c r="C416" s="54" t="s">
        <v>1152</v>
      </c>
      <c r="D416" s="54" t="s">
        <v>1113</v>
      </c>
      <c r="E416" s="55" t="s">
        <v>412</v>
      </c>
      <c r="F416" s="56" t="str">
        <f t="shared" si="6"/>
        <v>061304312052025</v>
      </c>
      <c r="G416" s="54" t="s">
        <v>1114</v>
      </c>
      <c r="H416" s="54"/>
      <c r="I416" s="57"/>
    </row>
    <row r="417" spans="1:9" x14ac:dyDescent="0.2">
      <c r="A417" s="53" t="s">
        <v>161</v>
      </c>
      <c r="B417" s="54" t="s">
        <v>1151</v>
      </c>
      <c r="C417" s="54" t="s">
        <v>1152</v>
      </c>
      <c r="D417" s="54" t="s">
        <v>1115</v>
      </c>
      <c r="E417" s="55" t="s">
        <v>416</v>
      </c>
      <c r="F417" s="56" t="str">
        <f t="shared" si="6"/>
        <v>061304312062025</v>
      </c>
      <c r="G417" s="54" t="s">
        <v>1025</v>
      </c>
      <c r="H417" s="54"/>
      <c r="I417" s="57"/>
    </row>
    <row r="418" spans="1:9" x14ac:dyDescent="0.2">
      <c r="A418" s="53" t="s">
        <v>161</v>
      </c>
      <c r="B418" s="54" t="s">
        <v>1151</v>
      </c>
      <c r="C418" s="54" t="s">
        <v>1152</v>
      </c>
      <c r="D418" s="54" t="s">
        <v>1116</v>
      </c>
      <c r="E418" s="55" t="s">
        <v>420</v>
      </c>
      <c r="F418" s="56" t="str">
        <f t="shared" si="6"/>
        <v>061304312072025</v>
      </c>
      <c r="G418" s="54" t="s">
        <v>1146</v>
      </c>
      <c r="H418" s="54"/>
      <c r="I418" s="57"/>
    </row>
    <row r="419" spans="1:9" x14ac:dyDescent="0.2">
      <c r="A419" s="53" t="s">
        <v>161</v>
      </c>
      <c r="B419" s="54" t="s">
        <v>1151</v>
      </c>
      <c r="C419" s="54" t="s">
        <v>1152</v>
      </c>
      <c r="D419" s="54" t="s">
        <v>1117</v>
      </c>
      <c r="E419" s="55" t="s">
        <v>424</v>
      </c>
      <c r="F419" s="56" t="str">
        <f t="shared" si="6"/>
        <v>061304312082025</v>
      </c>
      <c r="G419" s="54" t="s">
        <v>1118</v>
      </c>
      <c r="H419" s="54"/>
      <c r="I419" s="57"/>
    </row>
    <row r="420" spans="1:9" x14ac:dyDescent="0.2">
      <c r="A420" s="53" t="s">
        <v>161</v>
      </c>
      <c r="B420" s="54" t="s">
        <v>1151</v>
      </c>
      <c r="C420" s="54" t="s">
        <v>1152</v>
      </c>
      <c r="D420" s="54" t="s">
        <v>1119</v>
      </c>
      <c r="E420" s="55" t="s">
        <v>428</v>
      </c>
      <c r="F420" s="56" t="str">
        <f t="shared" si="6"/>
        <v>061304312092025</v>
      </c>
      <c r="G420" s="54" t="s">
        <v>1040</v>
      </c>
      <c r="H420" s="54"/>
      <c r="I420" s="57"/>
    </row>
    <row r="421" spans="1:9" x14ac:dyDescent="0.2">
      <c r="A421" s="53" t="s">
        <v>161</v>
      </c>
      <c r="B421" s="54" t="s">
        <v>1151</v>
      </c>
      <c r="C421" s="54" t="s">
        <v>1152</v>
      </c>
      <c r="D421" s="54" t="s">
        <v>1120</v>
      </c>
      <c r="E421" s="55" t="s">
        <v>432</v>
      </c>
      <c r="F421" s="56" t="str">
        <f t="shared" si="6"/>
        <v>061304312102025</v>
      </c>
      <c r="G421" s="54" t="s">
        <v>1121</v>
      </c>
      <c r="H421" s="54"/>
      <c r="I421" s="57"/>
    </row>
    <row r="422" spans="1:9" x14ac:dyDescent="0.2">
      <c r="A422" s="53" t="s">
        <v>161</v>
      </c>
      <c r="B422" s="54" t="s">
        <v>1151</v>
      </c>
      <c r="C422" s="54" t="s">
        <v>1152</v>
      </c>
      <c r="D422" s="54" t="s">
        <v>1122</v>
      </c>
      <c r="E422" s="55" t="s">
        <v>436</v>
      </c>
      <c r="F422" s="56" t="str">
        <f t="shared" si="6"/>
        <v>061304312112025</v>
      </c>
      <c r="G422" s="54" t="s">
        <v>1123</v>
      </c>
      <c r="H422" s="54"/>
      <c r="I422" s="57"/>
    </row>
    <row r="423" spans="1:9" x14ac:dyDescent="0.2">
      <c r="A423" s="53" t="s">
        <v>161</v>
      </c>
      <c r="B423" s="54" t="s">
        <v>1151</v>
      </c>
      <c r="C423" s="54" t="s">
        <v>1152</v>
      </c>
      <c r="D423" s="54" t="s">
        <v>1124</v>
      </c>
      <c r="E423" s="55" t="s">
        <v>440</v>
      </c>
      <c r="F423" s="56" t="str">
        <f t="shared" si="6"/>
        <v>061304312122025</v>
      </c>
      <c r="G423" s="54" t="s">
        <v>997</v>
      </c>
      <c r="H423" s="54"/>
      <c r="I423" s="57"/>
    </row>
    <row r="424" spans="1:9" ht="38.25" x14ac:dyDescent="0.2">
      <c r="A424" s="53" t="s">
        <v>1155</v>
      </c>
      <c r="B424" s="54" t="s">
        <v>1156</v>
      </c>
      <c r="C424" s="54" t="s">
        <v>1157</v>
      </c>
      <c r="D424" s="54" t="s">
        <v>1107</v>
      </c>
      <c r="E424" s="55" t="s">
        <v>396</v>
      </c>
      <c r="F424" s="56" t="str">
        <f t="shared" si="6"/>
        <v>061304212012025</v>
      </c>
      <c r="G424" s="54" t="s">
        <v>1153</v>
      </c>
      <c r="H424" s="54"/>
      <c r="I424" s="57"/>
    </row>
    <row r="425" spans="1:9" ht="38.25" x14ac:dyDescent="0.2">
      <c r="A425" s="53" t="s">
        <v>1155</v>
      </c>
      <c r="B425" s="54" t="s">
        <v>1156</v>
      </c>
      <c r="C425" s="54" t="s">
        <v>1157</v>
      </c>
      <c r="D425" s="54" t="s">
        <v>1108</v>
      </c>
      <c r="E425" s="55" t="s">
        <v>400</v>
      </c>
      <c r="F425" s="56" t="str">
        <f t="shared" si="6"/>
        <v>061304212022025</v>
      </c>
      <c r="G425" s="54" t="s">
        <v>1154</v>
      </c>
      <c r="H425" s="54"/>
      <c r="I425" s="57"/>
    </row>
    <row r="426" spans="1:9" ht="38.25" x14ac:dyDescent="0.2">
      <c r="A426" s="53" t="s">
        <v>1155</v>
      </c>
      <c r="B426" s="54" t="s">
        <v>1156</v>
      </c>
      <c r="C426" s="54" t="s">
        <v>1157</v>
      </c>
      <c r="D426" s="54" t="s">
        <v>1110</v>
      </c>
      <c r="E426" s="55" t="s">
        <v>404</v>
      </c>
      <c r="F426" s="56" t="str">
        <f t="shared" si="6"/>
        <v>061304212032025</v>
      </c>
      <c r="G426" s="54" t="s">
        <v>990</v>
      </c>
      <c r="H426" s="54"/>
      <c r="I426" s="57"/>
    </row>
    <row r="427" spans="1:9" ht="38.25" x14ac:dyDescent="0.2">
      <c r="A427" s="53" t="s">
        <v>1155</v>
      </c>
      <c r="B427" s="54" t="s">
        <v>1156</v>
      </c>
      <c r="C427" s="54" t="s">
        <v>1157</v>
      </c>
      <c r="D427" s="54" t="s">
        <v>1111</v>
      </c>
      <c r="E427" s="55" t="s">
        <v>408</v>
      </c>
      <c r="F427" s="56" t="str">
        <f t="shared" si="6"/>
        <v>061304212042025</v>
      </c>
      <c r="G427" s="54" t="s">
        <v>1112</v>
      </c>
      <c r="H427" s="54"/>
      <c r="I427" s="57"/>
    </row>
    <row r="428" spans="1:9" ht="38.25" x14ac:dyDescent="0.2">
      <c r="A428" s="53" t="s">
        <v>1155</v>
      </c>
      <c r="B428" s="54" t="s">
        <v>1156</v>
      </c>
      <c r="C428" s="54" t="s">
        <v>1157</v>
      </c>
      <c r="D428" s="54" t="s">
        <v>1113</v>
      </c>
      <c r="E428" s="55" t="s">
        <v>412</v>
      </c>
      <c r="F428" s="56" t="str">
        <f t="shared" si="6"/>
        <v>061304212052025</v>
      </c>
      <c r="G428" s="54" t="s">
        <v>1114</v>
      </c>
      <c r="H428" s="54"/>
      <c r="I428" s="57"/>
    </row>
    <row r="429" spans="1:9" ht="38.25" x14ac:dyDescent="0.2">
      <c r="A429" s="53" t="s">
        <v>1155</v>
      </c>
      <c r="B429" s="54" t="s">
        <v>1156</v>
      </c>
      <c r="C429" s="54" t="s">
        <v>1157</v>
      </c>
      <c r="D429" s="54" t="s">
        <v>1115</v>
      </c>
      <c r="E429" s="55" t="s">
        <v>416</v>
      </c>
      <c r="F429" s="56" t="str">
        <f t="shared" si="6"/>
        <v>061304212062025</v>
      </c>
      <c r="G429" s="54" t="s">
        <v>1025</v>
      </c>
      <c r="H429" s="54"/>
      <c r="I429" s="57"/>
    </row>
    <row r="430" spans="1:9" ht="38.25" x14ac:dyDescent="0.2">
      <c r="A430" s="53" t="s">
        <v>1155</v>
      </c>
      <c r="B430" s="54" t="s">
        <v>1156</v>
      </c>
      <c r="C430" s="54" t="s">
        <v>1157</v>
      </c>
      <c r="D430" s="54" t="s">
        <v>1116</v>
      </c>
      <c r="E430" s="55" t="s">
        <v>420</v>
      </c>
      <c r="F430" s="56" t="str">
        <f t="shared" si="6"/>
        <v>061304212072025</v>
      </c>
      <c r="G430" s="54" t="s">
        <v>1146</v>
      </c>
      <c r="H430" s="54"/>
      <c r="I430" s="57"/>
    </row>
    <row r="431" spans="1:9" ht="38.25" x14ac:dyDescent="0.2">
      <c r="A431" s="53" t="s">
        <v>1155</v>
      </c>
      <c r="B431" s="54" t="s">
        <v>1156</v>
      </c>
      <c r="C431" s="54" t="s">
        <v>1157</v>
      </c>
      <c r="D431" s="54" t="s">
        <v>1117</v>
      </c>
      <c r="E431" s="55" t="s">
        <v>424</v>
      </c>
      <c r="F431" s="56" t="str">
        <f t="shared" si="6"/>
        <v>061304212082025</v>
      </c>
      <c r="G431" s="54" t="s">
        <v>1118</v>
      </c>
      <c r="H431" s="54"/>
      <c r="I431" s="57"/>
    </row>
    <row r="432" spans="1:9" ht="38.25" x14ac:dyDescent="0.2">
      <c r="A432" s="53" t="s">
        <v>1155</v>
      </c>
      <c r="B432" s="54" t="s">
        <v>1156</v>
      </c>
      <c r="C432" s="54" t="s">
        <v>1157</v>
      </c>
      <c r="D432" s="54" t="s">
        <v>1119</v>
      </c>
      <c r="E432" s="55" t="s">
        <v>428</v>
      </c>
      <c r="F432" s="56" t="str">
        <f t="shared" si="6"/>
        <v>061304212092025</v>
      </c>
      <c r="G432" s="54" t="s">
        <v>1040</v>
      </c>
      <c r="H432" s="54"/>
      <c r="I432" s="57"/>
    </row>
    <row r="433" spans="1:9" ht="38.25" x14ac:dyDescent="0.2">
      <c r="A433" s="53" t="s">
        <v>1155</v>
      </c>
      <c r="B433" s="54" t="s">
        <v>1156</v>
      </c>
      <c r="C433" s="54" t="s">
        <v>1157</v>
      </c>
      <c r="D433" s="54" t="s">
        <v>1120</v>
      </c>
      <c r="E433" s="55" t="s">
        <v>432</v>
      </c>
      <c r="F433" s="56" t="str">
        <f t="shared" si="6"/>
        <v>061304212102025</v>
      </c>
      <c r="G433" s="54" t="s">
        <v>1121</v>
      </c>
      <c r="H433" s="54"/>
      <c r="I433" s="57"/>
    </row>
    <row r="434" spans="1:9" ht="38.25" x14ac:dyDescent="0.2">
      <c r="A434" s="53" t="s">
        <v>1155</v>
      </c>
      <c r="B434" s="54" t="s">
        <v>1156</v>
      </c>
      <c r="C434" s="54" t="s">
        <v>1157</v>
      </c>
      <c r="D434" s="54" t="s">
        <v>1122</v>
      </c>
      <c r="E434" s="55" t="s">
        <v>436</v>
      </c>
      <c r="F434" s="56" t="str">
        <f t="shared" si="6"/>
        <v>061304212112025</v>
      </c>
      <c r="G434" s="54" t="s">
        <v>1123</v>
      </c>
      <c r="H434" s="54"/>
      <c r="I434" s="57"/>
    </row>
    <row r="435" spans="1:9" ht="38.25" x14ac:dyDescent="0.2">
      <c r="A435" s="53" t="s">
        <v>1155</v>
      </c>
      <c r="B435" s="54" t="s">
        <v>1156</v>
      </c>
      <c r="C435" s="54" t="s">
        <v>1157</v>
      </c>
      <c r="D435" s="54" t="s">
        <v>1124</v>
      </c>
      <c r="E435" s="55" t="s">
        <v>440</v>
      </c>
      <c r="F435" s="56" t="str">
        <f t="shared" si="6"/>
        <v>061304212122025</v>
      </c>
      <c r="G435" s="54" t="s">
        <v>997</v>
      </c>
      <c r="H435" s="54"/>
      <c r="I435" s="57"/>
    </row>
    <row r="436" spans="1:9" x14ac:dyDescent="0.2">
      <c r="A436" s="53" t="s">
        <v>361</v>
      </c>
      <c r="B436" s="54" t="s">
        <v>1158</v>
      </c>
      <c r="C436" s="54" t="s">
        <v>1159</v>
      </c>
      <c r="D436" s="54" t="s">
        <v>1107</v>
      </c>
      <c r="E436" s="55" t="s">
        <v>396</v>
      </c>
      <c r="F436" s="56" t="str">
        <f t="shared" si="6"/>
        <v>061101212012025</v>
      </c>
      <c r="G436" s="54" t="s">
        <v>1017</v>
      </c>
      <c r="H436" s="54"/>
      <c r="I436" s="57"/>
    </row>
    <row r="437" spans="1:9" x14ac:dyDescent="0.2">
      <c r="A437" s="53" t="s">
        <v>361</v>
      </c>
      <c r="B437" s="54" t="s">
        <v>1158</v>
      </c>
      <c r="C437" s="54" t="s">
        <v>1159</v>
      </c>
      <c r="D437" s="54" t="s">
        <v>1108</v>
      </c>
      <c r="E437" s="55" t="s">
        <v>400</v>
      </c>
      <c r="F437" s="56" t="str">
        <f t="shared" si="6"/>
        <v>061101212022025</v>
      </c>
      <c r="G437" s="54" t="s">
        <v>1082</v>
      </c>
      <c r="H437" s="54"/>
      <c r="I437" s="57"/>
    </row>
    <row r="438" spans="1:9" x14ac:dyDescent="0.2">
      <c r="A438" s="53" t="s">
        <v>361</v>
      </c>
      <c r="B438" s="54" t="s">
        <v>1158</v>
      </c>
      <c r="C438" s="54" t="s">
        <v>1159</v>
      </c>
      <c r="D438" s="54" t="s">
        <v>1110</v>
      </c>
      <c r="E438" s="55" t="s">
        <v>404</v>
      </c>
      <c r="F438" s="56" t="str">
        <f t="shared" si="6"/>
        <v>061101212032025</v>
      </c>
      <c r="G438" s="54" t="s">
        <v>990</v>
      </c>
      <c r="H438" s="54"/>
      <c r="I438" s="57"/>
    </row>
    <row r="439" spans="1:9" x14ac:dyDescent="0.2">
      <c r="A439" s="53" t="s">
        <v>361</v>
      </c>
      <c r="B439" s="54" t="s">
        <v>1158</v>
      </c>
      <c r="C439" s="54" t="s">
        <v>1159</v>
      </c>
      <c r="D439" s="54" t="s">
        <v>1111</v>
      </c>
      <c r="E439" s="55" t="s">
        <v>408</v>
      </c>
      <c r="F439" s="56" t="str">
        <f t="shared" si="6"/>
        <v>061101212042025</v>
      </c>
      <c r="G439" s="54" t="s">
        <v>1112</v>
      </c>
      <c r="H439" s="54"/>
      <c r="I439" s="57"/>
    </row>
    <row r="440" spans="1:9" x14ac:dyDescent="0.2">
      <c r="A440" s="53" t="s">
        <v>361</v>
      </c>
      <c r="B440" s="54" t="s">
        <v>1158</v>
      </c>
      <c r="C440" s="54" t="s">
        <v>1159</v>
      </c>
      <c r="D440" s="54" t="s">
        <v>1113</v>
      </c>
      <c r="E440" s="55" t="s">
        <v>412</v>
      </c>
      <c r="F440" s="56" t="str">
        <f t="shared" si="6"/>
        <v>061101212052025</v>
      </c>
      <c r="G440" s="54" t="s">
        <v>1160</v>
      </c>
      <c r="H440" s="54"/>
      <c r="I440" s="57"/>
    </row>
    <row r="441" spans="1:9" x14ac:dyDescent="0.2">
      <c r="A441" s="53" t="s">
        <v>361</v>
      </c>
      <c r="B441" s="54" t="s">
        <v>1158</v>
      </c>
      <c r="C441" s="54" t="s">
        <v>1159</v>
      </c>
      <c r="D441" s="54" t="s">
        <v>1115</v>
      </c>
      <c r="E441" s="55" t="s">
        <v>416</v>
      </c>
      <c r="F441" s="56" t="str">
        <f t="shared" si="6"/>
        <v>061101212062025</v>
      </c>
      <c r="G441" s="54" t="s">
        <v>992</v>
      </c>
      <c r="H441" s="54"/>
      <c r="I441" s="57"/>
    </row>
    <row r="442" spans="1:9" x14ac:dyDescent="0.2">
      <c r="A442" s="53" t="s">
        <v>361</v>
      </c>
      <c r="B442" s="54" t="s">
        <v>1158</v>
      </c>
      <c r="C442" s="54" t="s">
        <v>1159</v>
      </c>
      <c r="D442" s="54" t="s">
        <v>1116</v>
      </c>
      <c r="E442" s="55" t="s">
        <v>420</v>
      </c>
      <c r="F442" s="56" t="str">
        <f t="shared" si="6"/>
        <v>061101212072025</v>
      </c>
      <c r="G442" s="54" t="s">
        <v>1013</v>
      </c>
      <c r="H442" s="54"/>
      <c r="I442" s="57"/>
    </row>
    <row r="443" spans="1:9" x14ac:dyDescent="0.2">
      <c r="A443" s="53" t="s">
        <v>361</v>
      </c>
      <c r="B443" s="54" t="s">
        <v>1158</v>
      </c>
      <c r="C443" s="54" t="s">
        <v>1159</v>
      </c>
      <c r="D443" s="54" t="s">
        <v>1117</v>
      </c>
      <c r="E443" s="55" t="s">
        <v>424</v>
      </c>
      <c r="F443" s="56" t="str">
        <f t="shared" si="6"/>
        <v>061101212082025</v>
      </c>
      <c r="G443" s="54" t="s">
        <v>1118</v>
      </c>
      <c r="H443" s="54"/>
      <c r="I443" s="57"/>
    </row>
    <row r="444" spans="1:9" x14ac:dyDescent="0.2">
      <c r="A444" s="53" t="s">
        <v>361</v>
      </c>
      <c r="B444" s="54" t="s">
        <v>1158</v>
      </c>
      <c r="C444" s="54" t="s">
        <v>1159</v>
      </c>
      <c r="D444" s="54" t="s">
        <v>1119</v>
      </c>
      <c r="E444" s="55" t="s">
        <v>428</v>
      </c>
      <c r="F444" s="56" t="str">
        <f t="shared" si="6"/>
        <v>061101212092025</v>
      </c>
      <c r="G444" s="54" t="s">
        <v>1026</v>
      </c>
      <c r="H444" s="54"/>
      <c r="I444" s="57"/>
    </row>
    <row r="445" spans="1:9" x14ac:dyDescent="0.2">
      <c r="A445" s="53" t="s">
        <v>361</v>
      </c>
      <c r="B445" s="54" t="s">
        <v>1158</v>
      </c>
      <c r="C445" s="54" t="s">
        <v>1159</v>
      </c>
      <c r="D445" s="54" t="s">
        <v>1120</v>
      </c>
      <c r="E445" s="55" t="s">
        <v>432</v>
      </c>
      <c r="F445" s="56" t="str">
        <f t="shared" si="6"/>
        <v>061101212102025</v>
      </c>
      <c r="G445" s="54" t="s">
        <v>1014</v>
      </c>
      <c r="H445" s="54"/>
      <c r="I445" s="57"/>
    </row>
    <row r="446" spans="1:9" x14ac:dyDescent="0.2">
      <c r="A446" s="53" t="s">
        <v>361</v>
      </c>
      <c r="B446" s="54" t="s">
        <v>1158</v>
      </c>
      <c r="C446" s="54" t="s">
        <v>1159</v>
      </c>
      <c r="D446" s="54" t="s">
        <v>1122</v>
      </c>
      <c r="E446" s="55" t="s">
        <v>436</v>
      </c>
      <c r="F446" s="56" t="str">
        <f t="shared" si="6"/>
        <v>061101212112025</v>
      </c>
      <c r="G446" s="54" t="s">
        <v>1161</v>
      </c>
      <c r="H446" s="54"/>
      <c r="I446" s="57"/>
    </row>
    <row r="447" spans="1:9" x14ac:dyDescent="0.2">
      <c r="A447" s="53" t="s">
        <v>361</v>
      </c>
      <c r="B447" s="54" t="s">
        <v>1158</v>
      </c>
      <c r="C447" s="54" t="s">
        <v>1159</v>
      </c>
      <c r="D447" s="54" t="s">
        <v>1124</v>
      </c>
      <c r="E447" s="55" t="s">
        <v>440</v>
      </c>
      <c r="F447" s="56" t="str">
        <f t="shared" si="6"/>
        <v>061101212122025</v>
      </c>
      <c r="G447" s="54" t="s">
        <v>1027</v>
      </c>
      <c r="H447" s="54"/>
      <c r="I447" s="57"/>
    </row>
    <row r="448" spans="1:9" x14ac:dyDescent="0.2">
      <c r="A448" s="53" t="s">
        <v>381</v>
      </c>
      <c r="B448" s="54" t="s">
        <v>1162</v>
      </c>
      <c r="C448" s="54" t="s">
        <v>1163</v>
      </c>
      <c r="D448" s="54" t="s">
        <v>1107</v>
      </c>
      <c r="E448" s="55" t="s">
        <v>396</v>
      </c>
      <c r="F448" s="56" t="str">
        <f t="shared" si="6"/>
        <v>060970712012025</v>
      </c>
      <c r="G448" s="54" t="s">
        <v>1164</v>
      </c>
      <c r="H448" s="54"/>
      <c r="I448" s="57"/>
    </row>
    <row r="449" spans="1:9" x14ac:dyDescent="0.2">
      <c r="A449" s="53" t="s">
        <v>381</v>
      </c>
      <c r="B449" s="54" t="s">
        <v>1162</v>
      </c>
      <c r="C449" s="54" t="s">
        <v>1163</v>
      </c>
      <c r="D449" s="54" t="s">
        <v>1108</v>
      </c>
      <c r="E449" s="55" t="s">
        <v>400</v>
      </c>
      <c r="F449" s="56" t="str">
        <f t="shared" si="6"/>
        <v>060970712022025</v>
      </c>
      <c r="G449" s="54" t="s">
        <v>1144</v>
      </c>
      <c r="H449" s="54"/>
      <c r="I449" s="57"/>
    </row>
    <row r="450" spans="1:9" x14ac:dyDescent="0.2">
      <c r="A450" s="53" t="s">
        <v>381</v>
      </c>
      <c r="B450" s="54" t="s">
        <v>1162</v>
      </c>
      <c r="C450" s="54" t="s">
        <v>1163</v>
      </c>
      <c r="D450" s="54" t="s">
        <v>1110</v>
      </c>
      <c r="E450" s="55" t="s">
        <v>404</v>
      </c>
      <c r="F450" s="56" t="str">
        <f t="shared" si="6"/>
        <v>060970712032025</v>
      </c>
      <c r="G450" s="54" t="s">
        <v>990</v>
      </c>
      <c r="H450" s="54"/>
      <c r="I450" s="57"/>
    </row>
    <row r="451" spans="1:9" x14ac:dyDescent="0.2">
      <c r="A451" s="53" t="s">
        <v>381</v>
      </c>
      <c r="B451" s="54" t="s">
        <v>1162</v>
      </c>
      <c r="C451" s="54" t="s">
        <v>1163</v>
      </c>
      <c r="D451" s="54" t="s">
        <v>1111</v>
      </c>
      <c r="E451" s="55" t="s">
        <v>408</v>
      </c>
      <c r="F451" s="56" t="str">
        <f t="shared" ref="F451:F514" si="7">CONCATENATE(A451,E451)</f>
        <v>060970712042025</v>
      </c>
      <c r="G451" s="54" t="s">
        <v>1012</v>
      </c>
      <c r="H451" s="54"/>
      <c r="I451" s="57"/>
    </row>
    <row r="452" spans="1:9" x14ac:dyDescent="0.2">
      <c r="A452" s="53" t="s">
        <v>381</v>
      </c>
      <c r="B452" s="54" t="s">
        <v>1162</v>
      </c>
      <c r="C452" s="54" t="s">
        <v>1163</v>
      </c>
      <c r="D452" s="54" t="s">
        <v>1113</v>
      </c>
      <c r="E452" s="55" t="s">
        <v>412</v>
      </c>
      <c r="F452" s="56" t="str">
        <f t="shared" si="7"/>
        <v>060970712052025</v>
      </c>
      <c r="G452" s="54" t="s">
        <v>1145</v>
      </c>
      <c r="H452" s="54"/>
      <c r="I452" s="57"/>
    </row>
    <row r="453" spans="1:9" x14ac:dyDescent="0.2">
      <c r="A453" s="53" t="s">
        <v>381</v>
      </c>
      <c r="B453" s="54" t="s">
        <v>1162</v>
      </c>
      <c r="C453" s="54" t="s">
        <v>1163</v>
      </c>
      <c r="D453" s="54" t="s">
        <v>1115</v>
      </c>
      <c r="E453" s="55" t="s">
        <v>416</v>
      </c>
      <c r="F453" s="56" t="str">
        <f t="shared" si="7"/>
        <v>060970712062025</v>
      </c>
      <c r="G453" s="54" t="s">
        <v>1025</v>
      </c>
      <c r="H453" s="54"/>
      <c r="I453" s="57"/>
    </row>
    <row r="454" spans="1:9" x14ac:dyDescent="0.2">
      <c r="A454" s="53" t="s">
        <v>381</v>
      </c>
      <c r="B454" s="54" t="s">
        <v>1162</v>
      </c>
      <c r="C454" s="54" t="s">
        <v>1163</v>
      </c>
      <c r="D454" s="54" t="s">
        <v>1116</v>
      </c>
      <c r="E454" s="55" t="s">
        <v>420</v>
      </c>
      <c r="F454" s="56" t="str">
        <f t="shared" si="7"/>
        <v>060970712072025</v>
      </c>
      <c r="G454" s="54" t="s">
        <v>1146</v>
      </c>
      <c r="H454" s="54"/>
      <c r="I454" s="57"/>
    </row>
    <row r="455" spans="1:9" x14ac:dyDescent="0.2">
      <c r="A455" s="53" t="s">
        <v>381</v>
      </c>
      <c r="B455" s="54" t="s">
        <v>1162</v>
      </c>
      <c r="C455" s="54" t="s">
        <v>1163</v>
      </c>
      <c r="D455" s="54" t="s">
        <v>1117</v>
      </c>
      <c r="E455" s="55" t="s">
        <v>424</v>
      </c>
      <c r="F455" s="56" t="str">
        <f t="shared" si="7"/>
        <v>060970712082025</v>
      </c>
      <c r="G455" s="54" t="s">
        <v>1118</v>
      </c>
      <c r="H455" s="54"/>
      <c r="I455" s="57"/>
    </row>
    <row r="456" spans="1:9" x14ac:dyDescent="0.2">
      <c r="A456" s="53" t="s">
        <v>381</v>
      </c>
      <c r="B456" s="54" t="s">
        <v>1162</v>
      </c>
      <c r="C456" s="54" t="s">
        <v>1163</v>
      </c>
      <c r="D456" s="54" t="s">
        <v>1119</v>
      </c>
      <c r="E456" s="55" t="s">
        <v>428</v>
      </c>
      <c r="F456" s="56" t="str">
        <f t="shared" si="7"/>
        <v>060970712092025</v>
      </c>
      <c r="G456" s="54" t="s">
        <v>1040</v>
      </c>
      <c r="H456" s="54"/>
      <c r="I456" s="57"/>
    </row>
    <row r="457" spans="1:9" x14ac:dyDescent="0.2">
      <c r="A457" s="53" t="s">
        <v>381</v>
      </c>
      <c r="B457" s="54" t="s">
        <v>1162</v>
      </c>
      <c r="C457" s="54" t="s">
        <v>1163</v>
      </c>
      <c r="D457" s="54" t="s">
        <v>1120</v>
      </c>
      <c r="E457" s="55" t="s">
        <v>432</v>
      </c>
      <c r="F457" s="56" t="str">
        <f t="shared" si="7"/>
        <v>060970712102025</v>
      </c>
      <c r="G457" s="54" t="s">
        <v>1147</v>
      </c>
      <c r="H457" s="54"/>
      <c r="I457" s="57"/>
    </row>
    <row r="458" spans="1:9" x14ac:dyDescent="0.2">
      <c r="A458" s="53" t="s">
        <v>381</v>
      </c>
      <c r="B458" s="54" t="s">
        <v>1162</v>
      </c>
      <c r="C458" s="54" t="s">
        <v>1163</v>
      </c>
      <c r="D458" s="54" t="s">
        <v>1122</v>
      </c>
      <c r="E458" s="55" t="s">
        <v>436</v>
      </c>
      <c r="F458" s="56" t="str">
        <f t="shared" si="7"/>
        <v>060970712112025</v>
      </c>
      <c r="G458" s="54" t="s">
        <v>1123</v>
      </c>
      <c r="H458" s="54"/>
      <c r="I458" s="57"/>
    </row>
    <row r="459" spans="1:9" x14ac:dyDescent="0.2">
      <c r="A459" s="53" t="s">
        <v>381</v>
      </c>
      <c r="B459" s="54" t="s">
        <v>1162</v>
      </c>
      <c r="C459" s="54" t="s">
        <v>1163</v>
      </c>
      <c r="D459" s="54" t="s">
        <v>1124</v>
      </c>
      <c r="E459" s="55" t="s">
        <v>440</v>
      </c>
      <c r="F459" s="56" t="str">
        <f t="shared" si="7"/>
        <v>060970712122025</v>
      </c>
      <c r="G459" s="54" t="s">
        <v>1027</v>
      </c>
      <c r="H459" s="54"/>
      <c r="I459" s="57"/>
    </row>
    <row r="460" spans="1:9" x14ac:dyDescent="0.2">
      <c r="A460" s="53" t="s">
        <v>7</v>
      </c>
      <c r="B460" s="54" t="s">
        <v>8</v>
      </c>
      <c r="C460" s="54" t="s">
        <v>1165</v>
      </c>
      <c r="D460" s="54" t="s">
        <v>1107</v>
      </c>
      <c r="E460" s="55" t="s">
        <v>396</v>
      </c>
      <c r="F460" s="56" t="str">
        <f t="shared" si="7"/>
        <v>060601312012025</v>
      </c>
      <c r="G460" s="54" t="s">
        <v>1017</v>
      </c>
      <c r="H460" s="54"/>
      <c r="I460" s="57"/>
    </row>
    <row r="461" spans="1:9" x14ac:dyDescent="0.2">
      <c r="A461" s="53" t="s">
        <v>7</v>
      </c>
      <c r="B461" s="54" t="s">
        <v>8</v>
      </c>
      <c r="C461" s="54" t="s">
        <v>1165</v>
      </c>
      <c r="D461" s="54" t="s">
        <v>1108</v>
      </c>
      <c r="E461" s="55" t="s">
        <v>400</v>
      </c>
      <c r="F461" s="56" t="str">
        <f t="shared" si="7"/>
        <v>060601312022025</v>
      </c>
      <c r="G461" s="54" t="s">
        <v>1082</v>
      </c>
      <c r="H461" s="54"/>
      <c r="I461" s="57"/>
    </row>
    <row r="462" spans="1:9" x14ac:dyDescent="0.2">
      <c r="A462" s="53" t="s">
        <v>7</v>
      </c>
      <c r="B462" s="54" t="s">
        <v>8</v>
      </c>
      <c r="C462" s="54" t="s">
        <v>1165</v>
      </c>
      <c r="D462" s="54" t="s">
        <v>1110</v>
      </c>
      <c r="E462" s="55" t="s">
        <v>404</v>
      </c>
      <c r="F462" s="56" t="str">
        <f t="shared" si="7"/>
        <v>060601312032025</v>
      </c>
      <c r="G462" s="54" t="s">
        <v>990</v>
      </c>
      <c r="H462" s="54"/>
      <c r="I462" s="57"/>
    </row>
    <row r="463" spans="1:9" x14ac:dyDescent="0.2">
      <c r="A463" s="53" t="s">
        <v>7</v>
      </c>
      <c r="B463" s="54" t="s">
        <v>8</v>
      </c>
      <c r="C463" s="54" t="s">
        <v>1165</v>
      </c>
      <c r="D463" s="54" t="s">
        <v>1111</v>
      </c>
      <c r="E463" s="55" t="s">
        <v>408</v>
      </c>
      <c r="F463" s="56" t="str">
        <f t="shared" si="7"/>
        <v>060601312042025</v>
      </c>
      <c r="G463" s="54" t="s">
        <v>1166</v>
      </c>
      <c r="H463" s="54"/>
      <c r="I463" s="57"/>
    </row>
    <row r="464" spans="1:9" x14ac:dyDescent="0.2">
      <c r="A464" s="53" t="s">
        <v>7</v>
      </c>
      <c r="B464" s="54" t="s">
        <v>8</v>
      </c>
      <c r="C464" s="54" t="s">
        <v>1165</v>
      </c>
      <c r="D464" s="54" t="s">
        <v>1113</v>
      </c>
      <c r="E464" s="55" t="s">
        <v>412</v>
      </c>
      <c r="F464" s="56" t="str">
        <f t="shared" si="7"/>
        <v>060601312052025</v>
      </c>
      <c r="G464" s="54" t="s">
        <v>1160</v>
      </c>
      <c r="H464" s="54"/>
      <c r="I464" s="57"/>
    </row>
    <row r="465" spans="1:9" x14ac:dyDescent="0.2">
      <c r="A465" s="53" t="s">
        <v>7</v>
      </c>
      <c r="B465" s="54" t="s">
        <v>8</v>
      </c>
      <c r="C465" s="54" t="s">
        <v>1165</v>
      </c>
      <c r="D465" s="54" t="s">
        <v>1115</v>
      </c>
      <c r="E465" s="55" t="s">
        <v>416</v>
      </c>
      <c r="F465" s="56" t="str">
        <f t="shared" si="7"/>
        <v>060601312062025</v>
      </c>
      <c r="G465" s="54" t="s">
        <v>992</v>
      </c>
      <c r="H465" s="54"/>
      <c r="I465" s="57"/>
    </row>
    <row r="466" spans="1:9" x14ac:dyDescent="0.2">
      <c r="A466" s="53" t="s">
        <v>7</v>
      </c>
      <c r="B466" s="54" t="s">
        <v>8</v>
      </c>
      <c r="C466" s="54" t="s">
        <v>1165</v>
      </c>
      <c r="D466" s="54" t="s">
        <v>1116</v>
      </c>
      <c r="E466" s="55" t="s">
        <v>420</v>
      </c>
      <c r="F466" s="56" t="str">
        <f t="shared" si="7"/>
        <v>060601312072025</v>
      </c>
      <c r="G466" s="54" t="s">
        <v>1013</v>
      </c>
      <c r="H466" s="54"/>
      <c r="I466" s="57"/>
    </row>
    <row r="467" spans="1:9" x14ac:dyDescent="0.2">
      <c r="A467" s="53" t="s">
        <v>7</v>
      </c>
      <c r="B467" s="54" t="s">
        <v>8</v>
      </c>
      <c r="C467" s="54" t="s">
        <v>1165</v>
      </c>
      <c r="D467" s="54" t="s">
        <v>1117</v>
      </c>
      <c r="E467" s="55" t="s">
        <v>424</v>
      </c>
      <c r="F467" s="56" t="str">
        <f t="shared" si="7"/>
        <v>060601312082025</v>
      </c>
      <c r="G467" s="54" t="s">
        <v>1118</v>
      </c>
      <c r="H467" s="54"/>
      <c r="I467" s="57"/>
    </row>
    <row r="468" spans="1:9" x14ac:dyDescent="0.2">
      <c r="A468" s="53" t="s">
        <v>7</v>
      </c>
      <c r="B468" s="54" t="s">
        <v>8</v>
      </c>
      <c r="C468" s="54" t="s">
        <v>1165</v>
      </c>
      <c r="D468" s="54" t="s">
        <v>1119</v>
      </c>
      <c r="E468" s="55" t="s">
        <v>428</v>
      </c>
      <c r="F468" s="56" t="str">
        <f t="shared" si="7"/>
        <v>060601312092025</v>
      </c>
      <c r="G468" s="54" t="s">
        <v>995</v>
      </c>
      <c r="H468" s="54"/>
      <c r="I468" s="57"/>
    </row>
    <row r="469" spans="1:9" x14ac:dyDescent="0.2">
      <c r="A469" s="53" t="s">
        <v>7</v>
      </c>
      <c r="B469" s="54" t="s">
        <v>8</v>
      </c>
      <c r="C469" s="54" t="s">
        <v>1165</v>
      </c>
      <c r="D469" s="54" t="s">
        <v>1120</v>
      </c>
      <c r="E469" s="55" t="s">
        <v>432</v>
      </c>
      <c r="F469" s="56" t="str">
        <f t="shared" si="7"/>
        <v>060601312102025</v>
      </c>
      <c r="G469" s="54" t="s">
        <v>1121</v>
      </c>
      <c r="H469" s="54"/>
      <c r="I469" s="57"/>
    </row>
    <row r="470" spans="1:9" x14ac:dyDescent="0.2">
      <c r="A470" s="53" t="s">
        <v>7</v>
      </c>
      <c r="B470" s="54" t="s">
        <v>8</v>
      </c>
      <c r="C470" s="54" t="s">
        <v>1165</v>
      </c>
      <c r="D470" s="54" t="s">
        <v>1122</v>
      </c>
      <c r="E470" s="55" t="s">
        <v>436</v>
      </c>
      <c r="F470" s="56" t="str">
        <f t="shared" si="7"/>
        <v>060601312112025</v>
      </c>
      <c r="G470" s="54" t="s">
        <v>1123</v>
      </c>
      <c r="H470" s="54"/>
      <c r="I470" s="57"/>
    </row>
    <row r="471" spans="1:9" x14ac:dyDescent="0.2">
      <c r="A471" s="53" t="s">
        <v>7</v>
      </c>
      <c r="B471" s="54" t="s">
        <v>8</v>
      </c>
      <c r="C471" s="54" t="s">
        <v>1165</v>
      </c>
      <c r="D471" s="54" t="s">
        <v>1124</v>
      </c>
      <c r="E471" s="55" t="s">
        <v>440</v>
      </c>
      <c r="F471" s="56" t="str">
        <f t="shared" si="7"/>
        <v>060601312122025</v>
      </c>
      <c r="G471" s="54" t="s">
        <v>1019</v>
      </c>
      <c r="H471" s="54"/>
      <c r="I471" s="57"/>
    </row>
    <row r="472" spans="1:9" x14ac:dyDescent="0.2">
      <c r="A472" s="53" t="s">
        <v>211</v>
      </c>
      <c r="B472" s="54" t="s">
        <v>212</v>
      </c>
      <c r="C472" s="54" t="s">
        <v>1167</v>
      </c>
      <c r="D472" s="54" t="s">
        <v>1107</v>
      </c>
      <c r="E472" s="55" t="s">
        <v>396</v>
      </c>
      <c r="F472" s="56" t="str">
        <f t="shared" si="7"/>
        <v>060800312012025</v>
      </c>
      <c r="G472" s="54" t="s">
        <v>1164</v>
      </c>
      <c r="H472" s="54"/>
      <c r="I472" s="57"/>
    </row>
    <row r="473" spans="1:9" x14ac:dyDescent="0.2">
      <c r="A473" s="53" t="s">
        <v>211</v>
      </c>
      <c r="B473" s="54" t="s">
        <v>212</v>
      </c>
      <c r="C473" s="54" t="s">
        <v>1167</v>
      </c>
      <c r="D473" s="54" t="s">
        <v>1108</v>
      </c>
      <c r="E473" s="55" t="s">
        <v>400</v>
      </c>
      <c r="F473" s="56" t="str">
        <f t="shared" si="7"/>
        <v>060800312022025</v>
      </c>
      <c r="G473" s="54" t="s">
        <v>1144</v>
      </c>
      <c r="H473" s="54"/>
      <c r="I473" s="57"/>
    </row>
    <row r="474" spans="1:9" x14ac:dyDescent="0.2">
      <c r="A474" s="53" t="s">
        <v>211</v>
      </c>
      <c r="B474" s="54" t="s">
        <v>212</v>
      </c>
      <c r="C474" s="54" t="s">
        <v>1167</v>
      </c>
      <c r="D474" s="54" t="s">
        <v>1110</v>
      </c>
      <c r="E474" s="55" t="s">
        <v>404</v>
      </c>
      <c r="F474" s="56" t="str">
        <f t="shared" si="7"/>
        <v>060800312032025</v>
      </c>
      <c r="G474" s="54" t="s">
        <v>990</v>
      </c>
      <c r="H474" s="54"/>
      <c r="I474" s="57"/>
    </row>
    <row r="475" spans="1:9" x14ac:dyDescent="0.2">
      <c r="A475" s="53" t="s">
        <v>211</v>
      </c>
      <c r="B475" s="54" t="s">
        <v>212</v>
      </c>
      <c r="C475" s="54" t="s">
        <v>1167</v>
      </c>
      <c r="D475" s="54" t="s">
        <v>1111</v>
      </c>
      <c r="E475" s="55" t="s">
        <v>408</v>
      </c>
      <c r="F475" s="56" t="str">
        <f t="shared" si="7"/>
        <v>060800312042025</v>
      </c>
      <c r="G475" s="54" t="s">
        <v>1166</v>
      </c>
      <c r="H475" s="54"/>
      <c r="I475" s="57"/>
    </row>
    <row r="476" spans="1:9" x14ac:dyDescent="0.2">
      <c r="A476" s="53" t="s">
        <v>211</v>
      </c>
      <c r="B476" s="54" t="s">
        <v>212</v>
      </c>
      <c r="C476" s="54" t="s">
        <v>1167</v>
      </c>
      <c r="D476" s="54" t="s">
        <v>1113</v>
      </c>
      <c r="E476" s="55" t="s">
        <v>412</v>
      </c>
      <c r="F476" s="56" t="str">
        <f t="shared" si="7"/>
        <v>060800312052025</v>
      </c>
      <c r="G476" s="54" t="s">
        <v>1145</v>
      </c>
      <c r="H476" s="54"/>
      <c r="I476" s="57"/>
    </row>
    <row r="477" spans="1:9" x14ac:dyDescent="0.2">
      <c r="A477" s="53" t="s">
        <v>211</v>
      </c>
      <c r="B477" s="54" t="s">
        <v>212</v>
      </c>
      <c r="C477" s="54" t="s">
        <v>1167</v>
      </c>
      <c r="D477" s="54" t="s">
        <v>1115</v>
      </c>
      <c r="E477" s="55" t="s">
        <v>416</v>
      </c>
      <c r="F477" s="56" t="str">
        <f t="shared" si="7"/>
        <v>060800312062025</v>
      </c>
      <c r="G477" s="54" t="s">
        <v>992</v>
      </c>
      <c r="H477" s="54"/>
      <c r="I477" s="57"/>
    </row>
    <row r="478" spans="1:9" x14ac:dyDescent="0.2">
      <c r="A478" s="53" t="s">
        <v>211</v>
      </c>
      <c r="B478" s="54" t="s">
        <v>212</v>
      </c>
      <c r="C478" s="54" t="s">
        <v>1167</v>
      </c>
      <c r="D478" s="54" t="s">
        <v>1116</v>
      </c>
      <c r="E478" s="55" t="s">
        <v>420</v>
      </c>
      <c r="F478" s="56" t="str">
        <f t="shared" si="7"/>
        <v>060800312072025</v>
      </c>
      <c r="G478" s="54" t="s">
        <v>1168</v>
      </c>
      <c r="H478" s="54"/>
      <c r="I478" s="57"/>
    </row>
    <row r="479" spans="1:9" x14ac:dyDescent="0.2">
      <c r="A479" s="53" t="s">
        <v>211</v>
      </c>
      <c r="B479" s="54" t="s">
        <v>212</v>
      </c>
      <c r="C479" s="54" t="s">
        <v>1167</v>
      </c>
      <c r="D479" s="54" t="s">
        <v>1117</v>
      </c>
      <c r="E479" s="55" t="s">
        <v>424</v>
      </c>
      <c r="F479" s="56" t="str">
        <f t="shared" si="7"/>
        <v>060800312082025</v>
      </c>
      <c r="G479" s="54" t="s">
        <v>1118</v>
      </c>
      <c r="H479" s="54"/>
      <c r="I479" s="57"/>
    </row>
    <row r="480" spans="1:9" x14ac:dyDescent="0.2">
      <c r="A480" s="53" t="s">
        <v>211</v>
      </c>
      <c r="B480" s="54" t="s">
        <v>212</v>
      </c>
      <c r="C480" s="54" t="s">
        <v>1167</v>
      </c>
      <c r="D480" s="54" t="s">
        <v>1119</v>
      </c>
      <c r="E480" s="55" t="s">
        <v>428</v>
      </c>
      <c r="F480" s="56" t="str">
        <f t="shared" si="7"/>
        <v>060800312092025</v>
      </c>
      <c r="G480" s="54" t="s">
        <v>1040</v>
      </c>
      <c r="H480" s="54"/>
      <c r="I480" s="57"/>
    </row>
    <row r="481" spans="1:9" x14ac:dyDescent="0.2">
      <c r="A481" s="53" t="s">
        <v>211</v>
      </c>
      <c r="B481" s="54" t="s">
        <v>212</v>
      </c>
      <c r="C481" s="54" t="s">
        <v>1167</v>
      </c>
      <c r="D481" s="54" t="s">
        <v>1120</v>
      </c>
      <c r="E481" s="55" t="s">
        <v>432</v>
      </c>
      <c r="F481" s="56" t="str">
        <f t="shared" si="7"/>
        <v>060800312102025</v>
      </c>
      <c r="G481" s="54" t="s">
        <v>1169</v>
      </c>
      <c r="H481" s="54"/>
      <c r="I481" s="57"/>
    </row>
    <row r="482" spans="1:9" x14ac:dyDescent="0.2">
      <c r="A482" s="53" t="s">
        <v>211</v>
      </c>
      <c r="B482" s="54" t="s">
        <v>212</v>
      </c>
      <c r="C482" s="54" t="s">
        <v>1167</v>
      </c>
      <c r="D482" s="54" t="s">
        <v>1122</v>
      </c>
      <c r="E482" s="55" t="s">
        <v>436</v>
      </c>
      <c r="F482" s="56" t="str">
        <f t="shared" si="7"/>
        <v>060800312112025</v>
      </c>
      <c r="G482" s="54" t="s">
        <v>1123</v>
      </c>
      <c r="H482" s="54"/>
      <c r="I482" s="57"/>
    </row>
    <row r="483" spans="1:9" x14ac:dyDescent="0.2">
      <c r="A483" s="53" t="s">
        <v>211</v>
      </c>
      <c r="B483" s="54" t="s">
        <v>212</v>
      </c>
      <c r="C483" s="54" t="s">
        <v>1167</v>
      </c>
      <c r="D483" s="54" t="s">
        <v>1124</v>
      </c>
      <c r="E483" s="55" t="s">
        <v>440</v>
      </c>
      <c r="F483" s="56" t="str">
        <f t="shared" si="7"/>
        <v>060800312122025</v>
      </c>
      <c r="G483" s="54" t="s">
        <v>1027</v>
      </c>
      <c r="H483" s="54"/>
      <c r="I483" s="57"/>
    </row>
    <row r="484" spans="1:9" x14ac:dyDescent="0.2">
      <c r="A484" s="53" t="s">
        <v>249</v>
      </c>
      <c r="B484" s="54" t="s">
        <v>250</v>
      </c>
      <c r="C484" s="54" t="s">
        <v>791</v>
      </c>
      <c r="D484" s="54" t="s">
        <v>1107</v>
      </c>
      <c r="E484" s="55" t="s">
        <v>396</v>
      </c>
      <c r="F484" s="56" t="str">
        <f t="shared" si="7"/>
        <v>060601012012025</v>
      </c>
      <c r="G484" s="54" t="s">
        <v>1017</v>
      </c>
      <c r="H484" s="54"/>
      <c r="I484" s="57"/>
    </row>
    <row r="485" spans="1:9" x14ac:dyDescent="0.2">
      <c r="A485" s="53" t="s">
        <v>249</v>
      </c>
      <c r="B485" s="54" t="s">
        <v>250</v>
      </c>
      <c r="C485" s="54" t="s">
        <v>791</v>
      </c>
      <c r="D485" s="54" t="s">
        <v>1108</v>
      </c>
      <c r="E485" s="55" t="s">
        <v>400</v>
      </c>
      <c r="F485" s="56" t="str">
        <f t="shared" si="7"/>
        <v>060601012022025</v>
      </c>
      <c r="G485" s="54" t="s">
        <v>1082</v>
      </c>
      <c r="H485" s="54"/>
      <c r="I485" s="57"/>
    </row>
    <row r="486" spans="1:9" x14ac:dyDescent="0.2">
      <c r="A486" s="53" t="s">
        <v>249</v>
      </c>
      <c r="B486" s="54" t="s">
        <v>250</v>
      </c>
      <c r="C486" s="54" t="s">
        <v>791</v>
      </c>
      <c r="D486" s="54" t="s">
        <v>1110</v>
      </c>
      <c r="E486" s="55" t="s">
        <v>404</v>
      </c>
      <c r="F486" s="56" t="str">
        <f t="shared" si="7"/>
        <v>060601012032025</v>
      </c>
      <c r="G486" s="54" t="s">
        <v>990</v>
      </c>
      <c r="H486" s="54"/>
      <c r="I486" s="57"/>
    </row>
    <row r="487" spans="1:9" x14ac:dyDescent="0.2">
      <c r="A487" s="53" t="s">
        <v>249</v>
      </c>
      <c r="B487" s="54" t="s">
        <v>250</v>
      </c>
      <c r="C487" s="54" t="s">
        <v>791</v>
      </c>
      <c r="D487" s="54" t="s">
        <v>1111</v>
      </c>
      <c r="E487" s="55" t="s">
        <v>408</v>
      </c>
      <c r="F487" s="56" t="str">
        <f t="shared" si="7"/>
        <v>060601012042025</v>
      </c>
      <c r="G487" s="54" t="s">
        <v>1166</v>
      </c>
      <c r="H487" s="54"/>
      <c r="I487" s="57"/>
    </row>
    <row r="488" spans="1:9" x14ac:dyDescent="0.2">
      <c r="A488" s="53" t="s">
        <v>249</v>
      </c>
      <c r="B488" s="54" t="s">
        <v>250</v>
      </c>
      <c r="C488" s="54" t="s">
        <v>791</v>
      </c>
      <c r="D488" s="54" t="s">
        <v>1113</v>
      </c>
      <c r="E488" s="55" t="s">
        <v>412</v>
      </c>
      <c r="F488" s="56" t="str">
        <f t="shared" si="7"/>
        <v>060601012052025</v>
      </c>
      <c r="G488" s="54" t="s">
        <v>1160</v>
      </c>
      <c r="H488" s="54"/>
      <c r="I488" s="57"/>
    </row>
    <row r="489" spans="1:9" x14ac:dyDescent="0.2">
      <c r="A489" s="53" t="s">
        <v>249</v>
      </c>
      <c r="B489" s="54" t="s">
        <v>250</v>
      </c>
      <c r="C489" s="54" t="s">
        <v>791</v>
      </c>
      <c r="D489" s="54" t="s">
        <v>1115</v>
      </c>
      <c r="E489" s="55" t="s">
        <v>416</v>
      </c>
      <c r="F489" s="56" t="str">
        <f t="shared" si="7"/>
        <v>060601012062025</v>
      </c>
      <c r="G489" s="54" t="s">
        <v>992</v>
      </c>
      <c r="H489" s="54"/>
      <c r="I489" s="57"/>
    </row>
    <row r="490" spans="1:9" x14ac:dyDescent="0.2">
      <c r="A490" s="53" t="s">
        <v>249</v>
      </c>
      <c r="B490" s="54" t="s">
        <v>250</v>
      </c>
      <c r="C490" s="54" t="s">
        <v>791</v>
      </c>
      <c r="D490" s="54" t="s">
        <v>1116</v>
      </c>
      <c r="E490" s="55" t="s">
        <v>420</v>
      </c>
      <c r="F490" s="56" t="str">
        <f t="shared" si="7"/>
        <v>060601012072025</v>
      </c>
      <c r="G490" s="54" t="s">
        <v>1013</v>
      </c>
      <c r="H490" s="54"/>
      <c r="I490" s="57"/>
    </row>
    <row r="491" spans="1:9" x14ac:dyDescent="0.2">
      <c r="A491" s="53" t="s">
        <v>249</v>
      </c>
      <c r="B491" s="54" t="s">
        <v>250</v>
      </c>
      <c r="C491" s="54" t="s">
        <v>791</v>
      </c>
      <c r="D491" s="54" t="s">
        <v>1117</v>
      </c>
      <c r="E491" s="55" t="s">
        <v>424</v>
      </c>
      <c r="F491" s="56" t="str">
        <f t="shared" si="7"/>
        <v>060601012082025</v>
      </c>
      <c r="G491" s="54" t="s">
        <v>1118</v>
      </c>
      <c r="H491" s="54"/>
      <c r="I491" s="57"/>
    </row>
    <row r="492" spans="1:9" x14ac:dyDescent="0.2">
      <c r="A492" s="53" t="s">
        <v>249</v>
      </c>
      <c r="B492" s="54" t="s">
        <v>250</v>
      </c>
      <c r="C492" s="54" t="s">
        <v>791</v>
      </c>
      <c r="D492" s="54" t="s">
        <v>1119</v>
      </c>
      <c r="E492" s="55" t="s">
        <v>428</v>
      </c>
      <c r="F492" s="56" t="str">
        <f t="shared" si="7"/>
        <v>060601012092025</v>
      </c>
      <c r="G492" s="54" t="s">
        <v>995</v>
      </c>
      <c r="H492" s="54"/>
      <c r="I492" s="57"/>
    </row>
    <row r="493" spans="1:9" x14ac:dyDescent="0.2">
      <c r="A493" s="53" t="s">
        <v>249</v>
      </c>
      <c r="B493" s="54" t="s">
        <v>250</v>
      </c>
      <c r="C493" s="54" t="s">
        <v>791</v>
      </c>
      <c r="D493" s="54" t="s">
        <v>1120</v>
      </c>
      <c r="E493" s="55" t="s">
        <v>432</v>
      </c>
      <c r="F493" s="56" t="str">
        <f t="shared" si="7"/>
        <v>060601012102025</v>
      </c>
      <c r="G493" s="54" t="s">
        <v>1121</v>
      </c>
      <c r="H493" s="54"/>
      <c r="I493" s="57"/>
    </row>
    <row r="494" spans="1:9" x14ac:dyDescent="0.2">
      <c r="A494" s="53" t="s">
        <v>249</v>
      </c>
      <c r="B494" s="54" t="s">
        <v>250</v>
      </c>
      <c r="C494" s="54" t="s">
        <v>791</v>
      </c>
      <c r="D494" s="54" t="s">
        <v>1122</v>
      </c>
      <c r="E494" s="55" t="s">
        <v>436</v>
      </c>
      <c r="F494" s="56" t="str">
        <f t="shared" si="7"/>
        <v>060601012112025</v>
      </c>
      <c r="G494" s="54" t="s">
        <v>1123</v>
      </c>
      <c r="H494" s="54"/>
      <c r="I494" s="57"/>
    </row>
    <row r="495" spans="1:9" x14ac:dyDescent="0.2">
      <c r="A495" s="53" t="s">
        <v>249</v>
      </c>
      <c r="B495" s="54" t="s">
        <v>250</v>
      </c>
      <c r="C495" s="54" t="s">
        <v>791</v>
      </c>
      <c r="D495" s="54" t="s">
        <v>1124</v>
      </c>
      <c r="E495" s="55" t="s">
        <v>440</v>
      </c>
      <c r="F495" s="56" t="str">
        <f t="shared" si="7"/>
        <v>060601012122025</v>
      </c>
      <c r="G495" s="54" t="s">
        <v>1019</v>
      </c>
      <c r="H495" s="54"/>
      <c r="I495" s="57"/>
    </row>
    <row r="496" spans="1:9" ht="25.5" x14ac:dyDescent="0.2">
      <c r="A496" s="53" t="s">
        <v>234</v>
      </c>
      <c r="B496" s="54" t="s">
        <v>1170</v>
      </c>
      <c r="C496" s="54" t="s">
        <v>1171</v>
      </c>
      <c r="D496" s="54" t="s">
        <v>1107</v>
      </c>
      <c r="E496" s="55" t="s">
        <v>396</v>
      </c>
      <c r="F496" s="56" t="str">
        <f t="shared" si="7"/>
        <v>061005412012025</v>
      </c>
      <c r="G496" s="54" t="s">
        <v>1017</v>
      </c>
      <c r="H496" s="54"/>
      <c r="I496" s="57"/>
    </row>
    <row r="497" spans="1:9" ht="25.5" x14ac:dyDescent="0.2">
      <c r="A497" s="53" t="s">
        <v>234</v>
      </c>
      <c r="B497" s="54" t="s">
        <v>1170</v>
      </c>
      <c r="C497" s="54" t="s">
        <v>1171</v>
      </c>
      <c r="D497" s="54" t="s">
        <v>1108</v>
      </c>
      <c r="E497" s="55" t="s">
        <v>400</v>
      </c>
      <c r="F497" s="56" t="str">
        <f t="shared" si="7"/>
        <v>061005412022025</v>
      </c>
      <c r="G497" s="54" t="s">
        <v>1082</v>
      </c>
      <c r="H497" s="54"/>
      <c r="I497" s="57"/>
    </row>
    <row r="498" spans="1:9" ht="25.5" x14ac:dyDescent="0.2">
      <c r="A498" s="53" t="s">
        <v>234</v>
      </c>
      <c r="B498" s="54" t="s">
        <v>1170</v>
      </c>
      <c r="C498" s="54" t="s">
        <v>1171</v>
      </c>
      <c r="D498" s="54" t="s">
        <v>1110</v>
      </c>
      <c r="E498" s="55" t="s">
        <v>404</v>
      </c>
      <c r="F498" s="56" t="str">
        <f t="shared" si="7"/>
        <v>061005412032025</v>
      </c>
      <c r="G498" s="54" t="s">
        <v>990</v>
      </c>
      <c r="H498" s="54"/>
      <c r="I498" s="57"/>
    </row>
    <row r="499" spans="1:9" ht="25.5" x14ac:dyDescent="0.2">
      <c r="A499" s="53" t="s">
        <v>234</v>
      </c>
      <c r="B499" s="54" t="s">
        <v>1170</v>
      </c>
      <c r="C499" s="54" t="s">
        <v>1171</v>
      </c>
      <c r="D499" s="54" t="s">
        <v>1111</v>
      </c>
      <c r="E499" s="55" t="s">
        <v>408</v>
      </c>
      <c r="F499" s="56" t="str">
        <f t="shared" si="7"/>
        <v>061005412042025</v>
      </c>
      <c r="G499" s="54" t="s">
        <v>877</v>
      </c>
      <c r="H499" s="54"/>
      <c r="I499" s="57"/>
    </row>
    <row r="500" spans="1:9" ht="25.5" x14ac:dyDescent="0.2">
      <c r="A500" s="53" t="s">
        <v>234</v>
      </c>
      <c r="B500" s="54" t="s">
        <v>1170</v>
      </c>
      <c r="C500" s="54" t="s">
        <v>1171</v>
      </c>
      <c r="D500" s="54" t="s">
        <v>1113</v>
      </c>
      <c r="E500" s="55" t="s">
        <v>412</v>
      </c>
      <c r="F500" s="56" t="str">
        <f t="shared" si="7"/>
        <v>061005412052025</v>
      </c>
      <c r="G500" s="54" t="s">
        <v>1172</v>
      </c>
      <c r="H500" s="54"/>
      <c r="I500" s="57"/>
    </row>
    <row r="501" spans="1:9" ht="25.5" x14ac:dyDescent="0.2">
      <c r="A501" s="53" t="s">
        <v>234</v>
      </c>
      <c r="B501" s="54" t="s">
        <v>1170</v>
      </c>
      <c r="C501" s="54" t="s">
        <v>1171</v>
      </c>
      <c r="D501" s="54" t="s">
        <v>1115</v>
      </c>
      <c r="E501" s="55" t="s">
        <v>416</v>
      </c>
      <c r="F501" s="56" t="str">
        <f t="shared" si="7"/>
        <v>061005412062025</v>
      </c>
      <c r="G501" s="54" t="s">
        <v>992</v>
      </c>
      <c r="H501" s="54"/>
      <c r="I501" s="57"/>
    </row>
    <row r="502" spans="1:9" ht="25.5" x14ac:dyDescent="0.2">
      <c r="A502" s="53" t="s">
        <v>234</v>
      </c>
      <c r="B502" s="54" t="s">
        <v>1170</v>
      </c>
      <c r="C502" s="54" t="s">
        <v>1171</v>
      </c>
      <c r="D502" s="54" t="s">
        <v>1116</v>
      </c>
      <c r="E502" s="55" t="s">
        <v>420</v>
      </c>
      <c r="F502" s="56" t="str">
        <f t="shared" si="7"/>
        <v>061005412072025</v>
      </c>
      <c r="G502" s="54" t="s">
        <v>1013</v>
      </c>
      <c r="H502" s="54"/>
      <c r="I502" s="57"/>
    </row>
    <row r="503" spans="1:9" ht="25.5" x14ac:dyDescent="0.2">
      <c r="A503" s="53" t="s">
        <v>234</v>
      </c>
      <c r="B503" s="54" t="s">
        <v>1170</v>
      </c>
      <c r="C503" s="54" t="s">
        <v>1171</v>
      </c>
      <c r="D503" s="54" t="s">
        <v>1117</v>
      </c>
      <c r="E503" s="55" t="s">
        <v>424</v>
      </c>
      <c r="F503" s="56" t="str">
        <f t="shared" si="7"/>
        <v>061005412082025</v>
      </c>
      <c r="G503" s="54" t="s">
        <v>1118</v>
      </c>
      <c r="H503" s="54"/>
      <c r="I503" s="57"/>
    </row>
    <row r="504" spans="1:9" ht="25.5" x14ac:dyDescent="0.2">
      <c r="A504" s="53" t="s">
        <v>234</v>
      </c>
      <c r="B504" s="54" t="s">
        <v>1170</v>
      </c>
      <c r="C504" s="54" t="s">
        <v>1171</v>
      </c>
      <c r="D504" s="54" t="s">
        <v>1119</v>
      </c>
      <c r="E504" s="55" t="s">
        <v>428</v>
      </c>
      <c r="F504" s="56" t="str">
        <f t="shared" si="7"/>
        <v>061005412092025</v>
      </c>
      <c r="G504" s="54" t="s">
        <v>995</v>
      </c>
      <c r="H504" s="54"/>
      <c r="I504" s="57"/>
    </row>
    <row r="505" spans="1:9" ht="25.5" x14ac:dyDescent="0.2">
      <c r="A505" s="53" t="s">
        <v>234</v>
      </c>
      <c r="B505" s="54" t="s">
        <v>1170</v>
      </c>
      <c r="C505" s="54" t="s">
        <v>1171</v>
      </c>
      <c r="D505" s="54" t="s">
        <v>1120</v>
      </c>
      <c r="E505" s="55" t="s">
        <v>432</v>
      </c>
      <c r="F505" s="56" t="str">
        <f t="shared" si="7"/>
        <v>061005412102025</v>
      </c>
      <c r="G505" s="54" t="s">
        <v>1014</v>
      </c>
      <c r="H505" s="54"/>
      <c r="I505" s="57"/>
    </row>
    <row r="506" spans="1:9" ht="25.5" x14ac:dyDescent="0.2">
      <c r="A506" s="53" t="s">
        <v>234</v>
      </c>
      <c r="B506" s="54" t="s">
        <v>1170</v>
      </c>
      <c r="C506" s="54" t="s">
        <v>1171</v>
      </c>
      <c r="D506" s="54" t="s">
        <v>1122</v>
      </c>
      <c r="E506" s="55" t="s">
        <v>436</v>
      </c>
      <c r="F506" s="56" t="str">
        <f t="shared" si="7"/>
        <v>061005412112025</v>
      </c>
      <c r="G506" s="54" t="s">
        <v>1161</v>
      </c>
      <c r="H506" s="54"/>
      <c r="I506" s="57"/>
    </row>
    <row r="507" spans="1:9" ht="25.5" x14ac:dyDescent="0.2">
      <c r="A507" s="53" t="s">
        <v>234</v>
      </c>
      <c r="B507" s="54" t="s">
        <v>1170</v>
      </c>
      <c r="C507" s="54" t="s">
        <v>1171</v>
      </c>
      <c r="D507" s="54" t="s">
        <v>1124</v>
      </c>
      <c r="E507" s="55" t="s">
        <v>440</v>
      </c>
      <c r="F507" s="56" t="str">
        <f t="shared" si="7"/>
        <v>061005412122025</v>
      </c>
      <c r="G507" s="54" t="s">
        <v>480</v>
      </c>
      <c r="H507" s="54"/>
      <c r="I507" s="57"/>
    </row>
    <row r="508" spans="1:9" x14ac:dyDescent="0.2">
      <c r="A508" s="53" t="s">
        <v>224</v>
      </c>
      <c r="B508" s="54" t="s">
        <v>225</v>
      </c>
      <c r="C508" s="54" t="s">
        <v>1173</v>
      </c>
      <c r="D508" s="54" t="s">
        <v>1107</v>
      </c>
      <c r="E508" s="55" t="s">
        <v>396</v>
      </c>
      <c r="F508" s="56" t="str">
        <f t="shared" si="7"/>
        <v>061001312012025</v>
      </c>
      <c r="G508" s="54" t="s">
        <v>508</v>
      </c>
      <c r="H508" s="54"/>
      <c r="I508" s="57"/>
    </row>
    <row r="509" spans="1:9" x14ac:dyDescent="0.2">
      <c r="A509" s="53" t="s">
        <v>224</v>
      </c>
      <c r="B509" s="54" t="s">
        <v>225</v>
      </c>
      <c r="C509" s="54" t="s">
        <v>1173</v>
      </c>
      <c r="D509" s="54" t="s">
        <v>1108</v>
      </c>
      <c r="E509" s="55" t="s">
        <v>400</v>
      </c>
      <c r="F509" s="56" t="str">
        <f t="shared" si="7"/>
        <v>061001312022025</v>
      </c>
      <c r="G509" s="54" t="s">
        <v>544</v>
      </c>
      <c r="H509" s="54"/>
      <c r="I509" s="57"/>
    </row>
    <row r="510" spans="1:9" x14ac:dyDescent="0.2">
      <c r="A510" s="53" t="s">
        <v>224</v>
      </c>
      <c r="B510" s="54" t="s">
        <v>225</v>
      </c>
      <c r="C510" s="54" t="s">
        <v>1173</v>
      </c>
      <c r="D510" s="54" t="s">
        <v>1110</v>
      </c>
      <c r="E510" s="55" t="s">
        <v>404</v>
      </c>
      <c r="F510" s="56" t="str">
        <f t="shared" si="7"/>
        <v>061001312032025</v>
      </c>
      <c r="G510" s="58">
        <v>45744</v>
      </c>
      <c r="H510" s="54"/>
      <c r="I510" s="57"/>
    </row>
    <row r="511" spans="1:9" x14ac:dyDescent="0.2">
      <c r="A511" s="53" t="s">
        <v>224</v>
      </c>
      <c r="B511" s="54" t="s">
        <v>225</v>
      </c>
      <c r="C511" s="54" t="s">
        <v>1173</v>
      </c>
      <c r="D511" s="54" t="s">
        <v>1111</v>
      </c>
      <c r="E511" s="55" t="s">
        <v>408</v>
      </c>
      <c r="F511" s="56" t="str">
        <f t="shared" si="7"/>
        <v>061001312042025</v>
      </c>
      <c r="G511" s="54" t="s">
        <v>548</v>
      </c>
      <c r="H511" s="54"/>
      <c r="I511" s="57"/>
    </row>
    <row r="512" spans="1:9" x14ac:dyDescent="0.2">
      <c r="A512" s="53" t="s">
        <v>224</v>
      </c>
      <c r="B512" s="54" t="s">
        <v>225</v>
      </c>
      <c r="C512" s="54" t="s">
        <v>1173</v>
      </c>
      <c r="D512" s="54" t="s">
        <v>1113</v>
      </c>
      <c r="E512" s="55" t="s">
        <v>412</v>
      </c>
      <c r="F512" s="56" t="str">
        <f t="shared" si="7"/>
        <v>061001312052025</v>
      </c>
      <c r="G512" s="54" t="s">
        <v>482</v>
      </c>
      <c r="H512" s="54"/>
      <c r="I512" s="57"/>
    </row>
    <row r="513" spans="1:9" x14ac:dyDescent="0.2">
      <c r="A513" s="53" t="s">
        <v>224</v>
      </c>
      <c r="B513" s="54" t="s">
        <v>225</v>
      </c>
      <c r="C513" s="54" t="s">
        <v>1173</v>
      </c>
      <c r="D513" s="54" t="s">
        <v>1115</v>
      </c>
      <c r="E513" s="55" t="s">
        <v>416</v>
      </c>
      <c r="F513" s="56" t="str">
        <f t="shared" si="7"/>
        <v>061001312062025</v>
      </c>
      <c r="G513" s="54" t="s">
        <v>473</v>
      </c>
      <c r="H513" s="54"/>
      <c r="I513" s="57"/>
    </row>
    <row r="514" spans="1:9" x14ac:dyDescent="0.2">
      <c r="A514" s="53" t="s">
        <v>224</v>
      </c>
      <c r="B514" s="54" t="s">
        <v>225</v>
      </c>
      <c r="C514" s="54" t="s">
        <v>1173</v>
      </c>
      <c r="D514" s="54" t="s">
        <v>1116</v>
      </c>
      <c r="E514" s="55" t="s">
        <v>420</v>
      </c>
      <c r="F514" s="56" t="str">
        <f t="shared" si="7"/>
        <v>061001312072025</v>
      </c>
      <c r="G514" s="54" t="s">
        <v>552</v>
      </c>
      <c r="H514" s="54"/>
      <c r="I514" s="57"/>
    </row>
    <row r="515" spans="1:9" x14ac:dyDescent="0.2">
      <c r="A515" s="53" t="s">
        <v>224</v>
      </c>
      <c r="B515" s="54" t="s">
        <v>225</v>
      </c>
      <c r="C515" s="54" t="s">
        <v>1173</v>
      </c>
      <c r="D515" s="54" t="s">
        <v>1117</v>
      </c>
      <c r="E515" s="55" t="s">
        <v>424</v>
      </c>
      <c r="F515" s="56" t="str">
        <f t="shared" ref="F515:F578" si="8">CONCATENATE(A515,E515)</f>
        <v>061001312082025</v>
      </c>
      <c r="G515" s="58">
        <v>45897</v>
      </c>
      <c r="H515" s="54"/>
      <c r="I515" s="57"/>
    </row>
    <row r="516" spans="1:9" x14ac:dyDescent="0.2">
      <c r="A516" s="53" t="s">
        <v>224</v>
      </c>
      <c r="B516" s="54" t="s">
        <v>225</v>
      </c>
      <c r="C516" s="54" t="s">
        <v>1173</v>
      </c>
      <c r="D516" s="54" t="s">
        <v>1119</v>
      </c>
      <c r="E516" s="55" t="s">
        <v>428</v>
      </c>
      <c r="F516" s="56" t="str">
        <f t="shared" si="8"/>
        <v>061001312092025</v>
      </c>
      <c r="G516" s="54" t="s">
        <v>454</v>
      </c>
      <c r="H516" s="54"/>
      <c r="I516" s="57"/>
    </row>
    <row r="517" spans="1:9" x14ac:dyDescent="0.2">
      <c r="A517" s="53" t="s">
        <v>224</v>
      </c>
      <c r="B517" s="54" t="s">
        <v>225</v>
      </c>
      <c r="C517" s="54" t="s">
        <v>1173</v>
      </c>
      <c r="D517" s="54" t="s">
        <v>1120</v>
      </c>
      <c r="E517" s="55" t="s">
        <v>432</v>
      </c>
      <c r="F517" s="56" t="str">
        <f t="shared" si="8"/>
        <v>061001312102025</v>
      </c>
      <c r="G517" s="54" t="s">
        <v>556</v>
      </c>
      <c r="H517" s="54"/>
      <c r="I517" s="57"/>
    </row>
    <row r="518" spans="1:9" x14ac:dyDescent="0.2">
      <c r="A518" s="53" t="s">
        <v>224</v>
      </c>
      <c r="B518" s="54" t="s">
        <v>225</v>
      </c>
      <c r="C518" s="54" t="s">
        <v>1173</v>
      </c>
      <c r="D518" s="54" t="s">
        <v>1122</v>
      </c>
      <c r="E518" s="55" t="s">
        <v>436</v>
      </c>
      <c r="F518" s="56" t="str">
        <f t="shared" si="8"/>
        <v>061001312112025</v>
      </c>
      <c r="G518" s="54" t="s">
        <v>479</v>
      </c>
      <c r="H518" s="54"/>
      <c r="I518" s="57"/>
    </row>
    <row r="519" spans="1:9" x14ac:dyDescent="0.2">
      <c r="A519" s="53" t="s">
        <v>224</v>
      </c>
      <c r="B519" s="54" t="s">
        <v>225</v>
      </c>
      <c r="C519" s="54" t="s">
        <v>1173</v>
      </c>
      <c r="D519" s="54" t="s">
        <v>1124</v>
      </c>
      <c r="E519" s="55" t="s">
        <v>440</v>
      </c>
      <c r="F519" s="56" t="str">
        <f t="shared" si="8"/>
        <v>061001312122025</v>
      </c>
      <c r="G519" s="54" t="s">
        <v>458</v>
      </c>
      <c r="H519" s="54"/>
      <c r="I519" s="57"/>
    </row>
    <row r="520" spans="1:9" ht="25.5" x14ac:dyDescent="0.2">
      <c r="A520" s="53" t="s">
        <v>70</v>
      </c>
      <c r="B520" s="54" t="s">
        <v>71</v>
      </c>
      <c r="C520" s="54" t="s">
        <v>1174</v>
      </c>
      <c r="D520" s="54" t="s">
        <v>1107</v>
      </c>
      <c r="E520" s="55" t="s">
        <v>396</v>
      </c>
      <c r="F520" s="56" t="str">
        <f t="shared" si="8"/>
        <v>061201012012025</v>
      </c>
      <c r="G520" s="54" t="s">
        <v>1017</v>
      </c>
      <c r="H520" s="54"/>
      <c r="I520" s="57"/>
    </row>
    <row r="521" spans="1:9" ht="25.5" x14ac:dyDescent="0.2">
      <c r="A521" s="53" t="s">
        <v>70</v>
      </c>
      <c r="B521" s="54" t="s">
        <v>71</v>
      </c>
      <c r="C521" s="54" t="s">
        <v>1174</v>
      </c>
      <c r="D521" s="54" t="s">
        <v>1108</v>
      </c>
      <c r="E521" s="55" t="s">
        <v>400</v>
      </c>
      <c r="F521" s="56" t="str">
        <f t="shared" si="8"/>
        <v>061201012022025</v>
      </c>
      <c r="G521" s="54" t="s">
        <v>1082</v>
      </c>
      <c r="H521" s="54"/>
      <c r="I521" s="57"/>
    </row>
    <row r="522" spans="1:9" ht="25.5" x14ac:dyDescent="0.2">
      <c r="A522" s="53" t="s">
        <v>70</v>
      </c>
      <c r="B522" s="54" t="s">
        <v>71</v>
      </c>
      <c r="C522" s="54" t="s">
        <v>1174</v>
      </c>
      <c r="D522" s="54" t="s">
        <v>1110</v>
      </c>
      <c r="E522" s="55" t="s">
        <v>404</v>
      </c>
      <c r="F522" s="56" t="str">
        <f t="shared" si="8"/>
        <v>061201012032025</v>
      </c>
      <c r="G522" s="54" t="s">
        <v>990</v>
      </c>
      <c r="H522" s="54"/>
      <c r="I522" s="57"/>
    </row>
    <row r="523" spans="1:9" ht="25.5" x14ac:dyDescent="0.2">
      <c r="A523" s="53" t="s">
        <v>70</v>
      </c>
      <c r="B523" s="54" t="s">
        <v>71</v>
      </c>
      <c r="C523" s="54" t="s">
        <v>1174</v>
      </c>
      <c r="D523" s="54" t="s">
        <v>1111</v>
      </c>
      <c r="E523" s="55" t="s">
        <v>408</v>
      </c>
      <c r="F523" s="56" t="str">
        <f t="shared" si="8"/>
        <v>061201012042025</v>
      </c>
      <c r="G523" s="54" t="s">
        <v>1112</v>
      </c>
      <c r="H523" s="54"/>
      <c r="I523" s="57"/>
    </row>
    <row r="524" spans="1:9" ht="25.5" x14ac:dyDescent="0.2">
      <c r="A524" s="53" t="s">
        <v>70</v>
      </c>
      <c r="B524" s="54" t="s">
        <v>71</v>
      </c>
      <c r="C524" s="54" t="s">
        <v>1174</v>
      </c>
      <c r="D524" s="54" t="s">
        <v>1113</v>
      </c>
      <c r="E524" s="55" t="s">
        <v>412</v>
      </c>
      <c r="F524" s="56" t="str">
        <f t="shared" si="8"/>
        <v>061201012052025</v>
      </c>
      <c r="G524" s="54" t="s">
        <v>1160</v>
      </c>
      <c r="H524" s="54"/>
      <c r="I524" s="57"/>
    </row>
    <row r="525" spans="1:9" ht="25.5" x14ac:dyDescent="0.2">
      <c r="A525" s="53" t="s">
        <v>70</v>
      </c>
      <c r="B525" s="54" t="s">
        <v>71</v>
      </c>
      <c r="C525" s="54" t="s">
        <v>1174</v>
      </c>
      <c r="D525" s="54" t="s">
        <v>1115</v>
      </c>
      <c r="E525" s="55" t="s">
        <v>416</v>
      </c>
      <c r="F525" s="56" t="str">
        <f t="shared" si="8"/>
        <v>061201012062025</v>
      </c>
      <c r="G525" s="54" t="s">
        <v>992</v>
      </c>
      <c r="H525" s="54"/>
      <c r="I525" s="57"/>
    </row>
    <row r="526" spans="1:9" ht="25.5" x14ac:dyDescent="0.2">
      <c r="A526" s="53" t="s">
        <v>70</v>
      </c>
      <c r="B526" s="54" t="s">
        <v>71</v>
      </c>
      <c r="C526" s="54" t="s">
        <v>1174</v>
      </c>
      <c r="D526" s="54" t="s">
        <v>1116</v>
      </c>
      <c r="E526" s="55" t="s">
        <v>420</v>
      </c>
      <c r="F526" s="56" t="str">
        <f t="shared" si="8"/>
        <v>061201012072025</v>
      </c>
      <c r="G526" s="54" t="s">
        <v>1146</v>
      </c>
      <c r="H526" s="54"/>
      <c r="I526" s="57"/>
    </row>
    <row r="527" spans="1:9" ht="25.5" x14ac:dyDescent="0.2">
      <c r="A527" s="53" t="s">
        <v>70</v>
      </c>
      <c r="B527" s="54" t="s">
        <v>71</v>
      </c>
      <c r="C527" s="54" t="s">
        <v>1174</v>
      </c>
      <c r="D527" s="54" t="s">
        <v>1117</v>
      </c>
      <c r="E527" s="55" t="s">
        <v>424</v>
      </c>
      <c r="F527" s="56" t="str">
        <f t="shared" si="8"/>
        <v>061201012082025</v>
      </c>
      <c r="G527" s="54" t="s">
        <v>1175</v>
      </c>
      <c r="H527" s="54"/>
      <c r="I527" s="57"/>
    </row>
    <row r="528" spans="1:9" ht="25.5" x14ac:dyDescent="0.2">
      <c r="A528" s="53" t="s">
        <v>70</v>
      </c>
      <c r="B528" s="54" t="s">
        <v>71</v>
      </c>
      <c r="C528" s="54" t="s">
        <v>1174</v>
      </c>
      <c r="D528" s="54" t="s">
        <v>1119</v>
      </c>
      <c r="E528" s="55" t="s">
        <v>428</v>
      </c>
      <c r="F528" s="56" t="str">
        <f t="shared" si="8"/>
        <v>061201012092025</v>
      </c>
      <c r="G528" s="54" t="s">
        <v>1026</v>
      </c>
      <c r="H528" s="54"/>
      <c r="I528" s="57"/>
    </row>
    <row r="529" spans="1:9" ht="25.5" x14ac:dyDescent="0.2">
      <c r="A529" s="53" t="s">
        <v>70</v>
      </c>
      <c r="B529" s="54" t="s">
        <v>71</v>
      </c>
      <c r="C529" s="54" t="s">
        <v>1174</v>
      </c>
      <c r="D529" s="54" t="s">
        <v>1120</v>
      </c>
      <c r="E529" s="55" t="s">
        <v>432</v>
      </c>
      <c r="F529" s="56" t="str">
        <f t="shared" si="8"/>
        <v>061201012102025</v>
      </c>
      <c r="G529" s="54" t="s">
        <v>1147</v>
      </c>
      <c r="H529" s="54"/>
      <c r="I529" s="57"/>
    </row>
    <row r="530" spans="1:9" ht="25.5" x14ac:dyDescent="0.2">
      <c r="A530" s="53" t="s">
        <v>70</v>
      </c>
      <c r="B530" s="54" t="s">
        <v>71</v>
      </c>
      <c r="C530" s="54" t="s">
        <v>1174</v>
      </c>
      <c r="D530" s="54" t="s">
        <v>1122</v>
      </c>
      <c r="E530" s="55" t="s">
        <v>436</v>
      </c>
      <c r="F530" s="56" t="str">
        <f t="shared" si="8"/>
        <v>061201012112025</v>
      </c>
      <c r="G530" s="54" t="s">
        <v>1161</v>
      </c>
      <c r="H530" s="54"/>
      <c r="I530" s="57"/>
    </row>
    <row r="531" spans="1:9" ht="25.5" x14ac:dyDescent="0.2">
      <c r="A531" s="53" t="s">
        <v>70</v>
      </c>
      <c r="B531" s="54" t="s">
        <v>71</v>
      </c>
      <c r="C531" s="54" t="s">
        <v>1174</v>
      </c>
      <c r="D531" s="54" t="s">
        <v>1124</v>
      </c>
      <c r="E531" s="55" t="s">
        <v>440</v>
      </c>
      <c r="F531" s="56" t="str">
        <f t="shared" si="8"/>
        <v>061201012122025</v>
      </c>
      <c r="G531" s="54" t="s">
        <v>1019</v>
      </c>
      <c r="H531" s="54"/>
      <c r="I531" s="57"/>
    </row>
    <row r="532" spans="1:9" x14ac:dyDescent="0.2">
      <c r="A532" s="53" t="s">
        <v>1176</v>
      </c>
      <c r="B532" s="54" t="s">
        <v>1177</v>
      </c>
      <c r="C532" s="54" t="s">
        <v>1178</v>
      </c>
      <c r="D532" s="54" t="s">
        <v>1107</v>
      </c>
      <c r="E532" s="55" t="s">
        <v>396</v>
      </c>
      <c r="F532" s="56" t="str">
        <f t="shared" si="8"/>
        <v>060703812012025</v>
      </c>
      <c r="G532" s="54" t="s">
        <v>1017</v>
      </c>
      <c r="H532" s="54"/>
      <c r="I532" s="57"/>
    </row>
    <row r="533" spans="1:9" x14ac:dyDescent="0.2">
      <c r="A533" s="53" t="s">
        <v>1176</v>
      </c>
      <c r="B533" s="54" t="s">
        <v>1177</v>
      </c>
      <c r="C533" s="54" t="s">
        <v>1178</v>
      </c>
      <c r="D533" s="54" t="s">
        <v>1108</v>
      </c>
      <c r="E533" s="55" t="s">
        <v>400</v>
      </c>
      <c r="F533" s="56" t="str">
        <f t="shared" si="8"/>
        <v>060703812022025</v>
      </c>
      <c r="G533" s="54" t="s">
        <v>1082</v>
      </c>
      <c r="H533" s="54"/>
      <c r="I533" s="57"/>
    </row>
    <row r="534" spans="1:9" x14ac:dyDescent="0.2">
      <c r="A534" s="53" t="s">
        <v>1176</v>
      </c>
      <c r="B534" s="54" t="s">
        <v>1177</v>
      </c>
      <c r="C534" s="54" t="s">
        <v>1178</v>
      </c>
      <c r="D534" s="54" t="s">
        <v>1110</v>
      </c>
      <c r="E534" s="55" t="s">
        <v>404</v>
      </c>
      <c r="F534" s="56" t="str">
        <f t="shared" si="8"/>
        <v>060703812032025</v>
      </c>
      <c r="G534" s="54" t="s">
        <v>990</v>
      </c>
      <c r="H534" s="54"/>
      <c r="I534" s="57"/>
    </row>
    <row r="535" spans="1:9" x14ac:dyDescent="0.2">
      <c r="A535" s="53" t="s">
        <v>1176</v>
      </c>
      <c r="B535" s="54" t="s">
        <v>1177</v>
      </c>
      <c r="C535" s="54" t="s">
        <v>1178</v>
      </c>
      <c r="D535" s="54" t="s">
        <v>1111</v>
      </c>
      <c r="E535" s="55" t="s">
        <v>408</v>
      </c>
      <c r="F535" s="56" t="str">
        <f t="shared" si="8"/>
        <v>060703812042025</v>
      </c>
      <c r="G535" s="54" t="s">
        <v>1166</v>
      </c>
      <c r="H535" s="54"/>
      <c r="I535" s="57"/>
    </row>
    <row r="536" spans="1:9" x14ac:dyDescent="0.2">
      <c r="A536" s="53" t="s">
        <v>1176</v>
      </c>
      <c r="B536" s="54" t="s">
        <v>1177</v>
      </c>
      <c r="C536" s="54" t="s">
        <v>1178</v>
      </c>
      <c r="D536" s="54" t="s">
        <v>1113</v>
      </c>
      <c r="E536" s="55" t="s">
        <v>412</v>
      </c>
      <c r="F536" s="56" t="str">
        <f t="shared" si="8"/>
        <v>060703812052025</v>
      </c>
      <c r="G536" s="54" t="s">
        <v>1179</v>
      </c>
      <c r="H536" s="54"/>
      <c r="I536" s="57"/>
    </row>
    <row r="537" spans="1:9" x14ac:dyDescent="0.2">
      <c r="A537" s="53" t="s">
        <v>1176</v>
      </c>
      <c r="B537" s="54" t="s">
        <v>1177</v>
      </c>
      <c r="C537" s="54" t="s">
        <v>1178</v>
      </c>
      <c r="D537" s="54" t="s">
        <v>1115</v>
      </c>
      <c r="E537" s="55" t="s">
        <v>416</v>
      </c>
      <c r="F537" s="56" t="str">
        <f t="shared" si="8"/>
        <v>060703812062025</v>
      </c>
      <c r="G537" s="54" t="s">
        <v>992</v>
      </c>
      <c r="H537" s="54"/>
      <c r="I537" s="57"/>
    </row>
    <row r="538" spans="1:9" x14ac:dyDescent="0.2">
      <c r="A538" s="53" t="s">
        <v>1176</v>
      </c>
      <c r="B538" s="54" t="s">
        <v>1177</v>
      </c>
      <c r="C538" s="54" t="s">
        <v>1178</v>
      </c>
      <c r="D538" s="54" t="s">
        <v>1116</v>
      </c>
      <c r="E538" s="55" t="s">
        <v>420</v>
      </c>
      <c r="F538" s="56" t="str">
        <f t="shared" si="8"/>
        <v>060703812072025</v>
      </c>
      <c r="G538" s="54" t="s">
        <v>1013</v>
      </c>
      <c r="H538" s="54"/>
      <c r="I538" s="57"/>
    </row>
    <row r="539" spans="1:9" x14ac:dyDescent="0.2">
      <c r="A539" s="53" t="s">
        <v>1176</v>
      </c>
      <c r="B539" s="54" t="s">
        <v>1177</v>
      </c>
      <c r="C539" s="54" t="s">
        <v>1178</v>
      </c>
      <c r="D539" s="54" t="s">
        <v>1117</v>
      </c>
      <c r="E539" s="55" t="s">
        <v>424</v>
      </c>
      <c r="F539" s="56" t="str">
        <f t="shared" si="8"/>
        <v>060703812082025</v>
      </c>
      <c r="G539" s="54" t="s">
        <v>1118</v>
      </c>
      <c r="H539" s="54"/>
      <c r="I539" s="57"/>
    </row>
    <row r="540" spans="1:9" x14ac:dyDescent="0.2">
      <c r="A540" s="53" t="s">
        <v>1176</v>
      </c>
      <c r="B540" s="54" t="s">
        <v>1177</v>
      </c>
      <c r="C540" s="54" t="s">
        <v>1178</v>
      </c>
      <c r="D540" s="54" t="s">
        <v>1119</v>
      </c>
      <c r="E540" s="55" t="s">
        <v>428</v>
      </c>
      <c r="F540" s="56" t="str">
        <f t="shared" si="8"/>
        <v>060703812092025</v>
      </c>
      <c r="G540" s="54" t="s">
        <v>1040</v>
      </c>
      <c r="H540" s="54"/>
      <c r="I540" s="57"/>
    </row>
    <row r="541" spans="1:9" x14ac:dyDescent="0.2">
      <c r="A541" s="53" t="s">
        <v>1176</v>
      </c>
      <c r="B541" s="54" t="s">
        <v>1177</v>
      </c>
      <c r="C541" s="54" t="s">
        <v>1178</v>
      </c>
      <c r="D541" s="54" t="s">
        <v>1120</v>
      </c>
      <c r="E541" s="55" t="s">
        <v>432</v>
      </c>
      <c r="F541" s="56" t="str">
        <f t="shared" si="8"/>
        <v>060703812102025</v>
      </c>
      <c r="G541" s="54" t="s">
        <v>1121</v>
      </c>
      <c r="H541" s="54"/>
      <c r="I541" s="57"/>
    </row>
    <row r="542" spans="1:9" x14ac:dyDescent="0.2">
      <c r="A542" s="53" t="s">
        <v>1176</v>
      </c>
      <c r="B542" s="54" t="s">
        <v>1177</v>
      </c>
      <c r="C542" s="54" t="s">
        <v>1178</v>
      </c>
      <c r="D542" s="54" t="s">
        <v>1122</v>
      </c>
      <c r="E542" s="55" t="s">
        <v>436</v>
      </c>
      <c r="F542" s="56" t="str">
        <f t="shared" si="8"/>
        <v>060703812112025</v>
      </c>
      <c r="G542" s="54" t="s">
        <v>1123</v>
      </c>
      <c r="H542" s="54"/>
      <c r="I542" s="57"/>
    </row>
    <row r="543" spans="1:9" x14ac:dyDescent="0.2">
      <c r="A543" s="53" t="s">
        <v>1176</v>
      </c>
      <c r="B543" s="54" t="s">
        <v>1177</v>
      </c>
      <c r="C543" s="54" t="s">
        <v>1178</v>
      </c>
      <c r="D543" s="54" t="s">
        <v>1124</v>
      </c>
      <c r="E543" s="55" t="s">
        <v>440</v>
      </c>
      <c r="F543" s="56" t="str">
        <f t="shared" si="8"/>
        <v>060703812122025</v>
      </c>
      <c r="G543" s="54" t="s">
        <v>1019</v>
      </c>
      <c r="H543" s="54"/>
      <c r="I543" s="57"/>
    </row>
    <row r="544" spans="1:9" x14ac:dyDescent="0.2">
      <c r="A544" s="53" t="s">
        <v>67</v>
      </c>
      <c r="B544" s="54" t="s">
        <v>68</v>
      </c>
      <c r="C544" s="54" t="s">
        <v>1180</v>
      </c>
      <c r="D544" s="54" t="s">
        <v>1107</v>
      </c>
      <c r="E544" s="55" t="s">
        <v>396</v>
      </c>
      <c r="F544" s="56" t="str">
        <f t="shared" si="8"/>
        <v>061200312012025</v>
      </c>
      <c r="G544" s="54" t="s">
        <v>1011</v>
      </c>
      <c r="H544" s="54"/>
      <c r="I544" s="57"/>
    </row>
    <row r="545" spans="1:9" x14ac:dyDescent="0.2">
      <c r="A545" s="53" t="s">
        <v>67</v>
      </c>
      <c r="B545" s="54" t="s">
        <v>68</v>
      </c>
      <c r="C545" s="54" t="s">
        <v>1180</v>
      </c>
      <c r="D545" s="54" t="s">
        <v>1108</v>
      </c>
      <c r="E545" s="55" t="s">
        <v>400</v>
      </c>
      <c r="F545" s="56" t="str">
        <f t="shared" si="8"/>
        <v>061200312022025</v>
      </c>
      <c r="G545" s="54" t="s">
        <v>1082</v>
      </c>
      <c r="H545" s="54"/>
      <c r="I545" s="57"/>
    </row>
    <row r="546" spans="1:9" x14ac:dyDescent="0.2">
      <c r="A546" s="53" t="s">
        <v>67</v>
      </c>
      <c r="B546" s="54" t="s">
        <v>68</v>
      </c>
      <c r="C546" s="54" t="s">
        <v>1180</v>
      </c>
      <c r="D546" s="54" t="s">
        <v>1110</v>
      </c>
      <c r="E546" s="55" t="s">
        <v>404</v>
      </c>
      <c r="F546" s="56" t="str">
        <f t="shared" si="8"/>
        <v>061200312032025</v>
      </c>
      <c r="G546" s="54" t="s">
        <v>990</v>
      </c>
      <c r="H546" s="54"/>
      <c r="I546" s="57"/>
    </row>
    <row r="547" spans="1:9" x14ac:dyDescent="0.2">
      <c r="A547" s="53" t="s">
        <v>67</v>
      </c>
      <c r="B547" s="54" t="s">
        <v>68</v>
      </c>
      <c r="C547" s="54" t="s">
        <v>1180</v>
      </c>
      <c r="D547" s="54" t="s">
        <v>1111</v>
      </c>
      <c r="E547" s="55" t="s">
        <v>408</v>
      </c>
      <c r="F547" s="56" t="str">
        <f t="shared" si="8"/>
        <v>061200312042025</v>
      </c>
      <c r="G547" s="54" t="s">
        <v>1112</v>
      </c>
      <c r="H547" s="54"/>
      <c r="I547" s="57"/>
    </row>
    <row r="548" spans="1:9" x14ac:dyDescent="0.2">
      <c r="A548" s="53" t="s">
        <v>67</v>
      </c>
      <c r="B548" s="54" t="s">
        <v>68</v>
      </c>
      <c r="C548" s="54" t="s">
        <v>1180</v>
      </c>
      <c r="D548" s="54" t="s">
        <v>1113</v>
      </c>
      <c r="E548" s="55" t="s">
        <v>412</v>
      </c>
      <c r="F548" s="56" t="str">
        <f t="shared" si="8"/>
        <v>061200312052025</v>
      </c>
      <c r="G548" s="54" t="s">
        <v>1160</v>
      </c>
      <c r="H548" s="54"/>
      <c r="I548" s="57"/>
    </row>
    <row r="549" spans="1:9" x14ac:dyDescent="0.2">
      <c r="A549" s="53" t="s">
        <v>67</v>
      </c>
      <c r="B549" s="54" t="s">
        <v>68</v>
      </c>
      <c r="C549" s="54" t="s">
        <v>1180</v>
      </c>
      <c r="D549" s="54" t="s">
        <v>1115</v>
      </c>
      <c r="E549" s="55" t="s">
        <v>416</v>
      </c>
      <c r="F549" s="56" t="str">
        <f t="shared" si="8"/>
        <v>061200312062025</v>
      </c>
      <c r="G549" s="54" t="s">
        <v>992</v>
      </c>
      <c r="H549" s="54"/>
      <c r="I549" s="57"/>
    </row>
    <row r="550" spans="1:9" x14ac:dyDescent="0.2">
      <c r="A550" s="53" t="s">
        <v>67</v>
      </c>
      <c r="B550" s="54" t="s">
        <v>68</v>
      </c>
      <c r="C550" s="54" t="s">
        <v>1180</v>
      </c>
      <c r="D550" s="54" t="s">
        <v>1116</v>
      </c>
      <c r="E550" s="55" t="s">
        <v>420</v>
      </c>
      <c r="F550" s="56" t="str">
        <f t="shared" si="8"/>
        <v>061200312072025</v>
      </c>
      <c r="G550" s="54" t="s">
        <v>1146</v>
      </c>
      <c r="H550" s="54"/>
      <c r="I550" s="57"/>
    </row>
    <row r="551" spans="1:9" x14ac:dyDescent="0.2">
      <c r="A551" s="53" t="s">
        <v>67</v>
      </c>
      <c r="B551" s="54" t="s">
        <v>68</v>
      </c>
      <c r="C551" s="54" t="s">
        <v>1180</v>
      </c>
      <c r="D551" s="54" t="s">
        <v>1117</v>
      </c>
      <c r="E551" s="55" t="s">
        <v>424</v>
      </c>
      <c r="F551" s="56" t="str">
        <f t="shared" si="8"/>
        <v>061200312082025</v>
      </c>
      <c r="G551" s="54" t="s">
        <v>1175</v>
      </c>
      <c r="H551" s="54"/>
      <c r="I551" s="57"/>
    </row>
    <row r="552" spans="1:9" x14ac:dyDescent="0.2">
      <c r="A552" s="53" t="s">
        <v>67</v>
      </c>
      <c r="B552" s="54" t="s">
        <v>68</v>
      </c>
      <c r="C552" s="54" t="s">
        <v>1180</v>
      </c>
      <c r="D552" s="54" t="s">
        <v>1119</v>
      </c>
      <c r="E552" s="55" t="s">
        <v>428</v>
      </c>
      <c r="F552" s="56" t="str">
        <f t="shared" si="8"/>
        <v>061200312092025</v>
      </c>
      <c r="G552" s="54" t="s">
        <v>1026</v>
      </c>
      <c r="H552" s="54"/>
      <c r="I552" s="57"/>
    </row>
    <row r="553" spans="1:9" x14ac:dyDescent="0.2">
      <c r="A553" s="53" t="s">
        <v>67</v>
      </c>
      <c r="B553" s="54" t="s">
        <v>68</v>
      </c>
      <c r="C553" s="54" t="s">
        <v>1180</v>
      </c>
      <c r="D553" s="54" t="s">
        <v>1120</v>
      </c>
      <c r="E553" s="55" t="s">
        <v>432</v>
      </c>
      <c r="F553" s="56" t="str">
        <f t="shared" si="8"/>
        <v>061200312102025</v>
      </c>
      <c r="G553" s="54" t="s">
        <v>1147</v>
      </c>
      <c r="H553" s="54"/>
      <c r="I553" s="57"/>
    </row>
    <row r="554" spans="1:9" x14ac:dyDescent="0.2">
      <c r="A554" s="53" t="s">
        <v>67</v>
      </c>
      <c r="B554" s="54" t="s">
        <v>68</v>
      </c>
      <c r="C554" s="54" t="s">
        <v>1180</v>
      </c>
      <c r="D554" s="54" t="s">
        <v>1122</v>
      </c>
      <c r="E554" s="55" t="s">
        <v>436</v>
      </c>
      <c r="F554" s="56" t="str">
        <f t="shared" si="8"/>
        <v>061200312112025</v>
      </c>
      <c r="G554" s="54" t="s">
        <v>1161</v>
      </c>
      <c r="H554" s="54"/>
      <c r="I554" s="57"/>
    </row>
    <row r="555" spans="1:9" x14ac:dyDescent="0.2">
      <c r="A555" s="53" t="s">
        <v>67</v>
      </c>
      <c r="B555" s="54" t="s">
        <v>68</v>
      </c>
      <c r="C555" s="54" t="s">
        <v>1180</v>
      </c>
      <c r="D555" s="54" t="s">
        <v>1124</v>
      </c>
      <c r="E555" s="55" t="s">
        <v>440</v>
      </c>
      <c r="F555" s="56" t="str">
        <f t="shared" si="8"/>
        <v>061200312122025</v>
      </c>
      <c r="G555" s="54" t="s">
        <v>1019</v>
      </c>
      <c r="H555" s="54"/>
      <c r="I555" s="57"/>
    </row>
    <row r="556" spans="1:9" ht="25.5" x14ac:dyDescent="0.2">
      <c r="A556" s="53" t="s">
        <v>236</v>
      </c>
      <c r="B556" s="54" t="s">
        <v>237</v>
      </c>
      <c r="C556" s="54" t="s">
        <v>1181</v>
      </c>
      <c r="D556" s="54" t="s">
        <v>1107</v>
      </c>
      <c r="E556" s="55" t="s">
        <v>396</v>
      </c>
      <c r="F556" s="56" t="str">
        <f t="shared" si="8"/>
        <v>060600912012025</v>
      </c>
      <c r="G556" s="54" t="s">
        <v>1017</v>
      </c>
      <c r="H556" s="54"/>
      <c r="I556" s="57"/>
    </row>
    <row r="557" spans="1:9" ht="25.5" x14ac:dyDescent="0.2">
      <c r="A557" s="53" t="s">
        <v>236</v>
      </c>
      <c r="B557" s="54" t="s">
        <v>237</v>
      </c>
      <c r="C557" s="54" t="s">
        <v>1181</v>
      </c>
      <c r="D557" s="54" t="s">
        <v>1108</v>
      </c>
      <c r="E557" s="55" t="s">
        <v>400</v>
      </c>
      <c r="F557" s="56" t="str">
        <f t="shared" si="8"/>
        <v>060600912022025</v>
      </c>
      <c r="G557" s="54" t="s">
        <v>1182</v>
      </c>
      <c r="H557" s="54"/>
      <c r="I557" s="57"/>
    </row>
    <row r="558" spans="1:9" ht="25.5" x14ac:dyDescent="0.2">
      <c r="A558" s="53" t="s">
        <v>236</v>
      </c>
      <c r="B558" s="54" t="s">
        <v>237</v>
      </c>
      <c r="C558" s="54" t="s">
        <v>1181</v>
      </c>
      <c r="D558" s="54" t="s">
        <v>1110</v>
      </c>
      <c r="E558" s="55" t="s">
        <v>404</v>
      </c>
      <c r="F558" s="56" t="str">
        <f t="shared" si="8"/>
        <v>060600912032025</v>
      </c>
      <c r="G558" s="54" t="s">
        <v>1090</v>
      </c>
      <c r="H558" s="54"/>
      <c r="I558" s="57"/>
    </row>
    <row r="559" spans="1:9" ht="25.5" x14ac:dyDescent="0.2">
      <c r="A559" s="53" t="s">
        <v>236</v>
      </c>
      <c r="B559" s="54" t="s">
        <v>237</v>
      </c>
      <c r="C559" s="54" t="s">
        <v>1181</v>
      </c>
      <c r="D559" s="54" t="s">
        <v>1111</v>
      </c>
      <c r="E559" s="55" t="s">
        <v>408</v>
      </c>
      <c r="F559" s="56" t="str">
        <f t="shared" si="8"/>
        <v>060600912042025</v>
      </c>
      <c r="G559" s="54" t="s">
        <v>877</v>
      </c>
      <c r="H559" s="54"/>
      <c r="I559" s="57"/>
    </row>
    <row r="560" spans="1:9" ht="25.5" x14ac:dyDescent="0.2">
      <c r="A560" s="53" t="s">
        <v>236</v>
      </c>
      <c r="B560" s="54" t="s">
        <v>237</v>
      </c>
      <c r="C560" s="54" t="s">
        <v>1181</v>
      </c>
      <c r="D560" s="54" t="s">
        <v>1113</v>
      </c>
      <c r="E560" s="55" t="s">
        <v>412</v>
      </c>
      <c r="F560" s="56" t="str">
        <f t="shared" si="8"/>
        <v>060600912052025</v>
      </c>
      <c r="G560" s="54" t="s">
        <v>1114</v>
      </c>
      <c r="H560" s="54"/>
      <c r="I560" s="57"/>
    </row>
    <row r="561" spans="1:9" ht="25.5" x14ac:dyDescent="0.2">
      <c r="A561" s="53" t="s">
        <v>236</v>
      </c>
      <c r="B561" s="54" t="s">
        <v>237</v>
      </c>
      <c r="C561" s="54" t="s">
        <v>1181</v>
      </c>
      <c r="D561" s="54" t="s">
        <v>1115</v>
      </c>
      <c r="E561" s="55" t="s">
        <v>416</v>
      </c>
      <c r="F561" s="56" t="str">
        <f t="shared" si="8"/>
        <v>060600912062025</v>
      </c>
      <c r="G561" s="54" t="s">
        <v>1183</v>
      </c>
      <c r="H561" s="54"/>
      <c r="I561" s="57"/>
    </row>
    <row r="562" spans="1:9" ht="25.5" x14ac:dyDescent="0.2">
      <c r="A562" s="53" t="s">
        <v>236</v>
      </c>
      <c r="B562" s="54" t="s">
        <v>237</v>
      </c>
      <c r="C562" s="54" t="s">
        <v>1181</v>
      </c>
      <c r="D562" s="54" t="s">
        <v>1116</v>
      </c>
      <c r="E562" s="55" t="s">
        <v>420</v>
      </c>
      <c r="F562" s="56" t="str">
        <f t="shared" si="8"/>
        <v>060600912072025</v>
      </c>
      <c r="G562" s="54" t="s">
        <v>1013</v>
      </c>
      <c r="H562" s="54"/>
      <c r="I562" s="57"/>
    </row>
    <row r="563" spans="1:9" ht="25.5" x14ac:dyDescent="0.2">
      <c r="A563" s="53" t="s">
        <v>236</v>
      </c>
      <c r="B563" s="54" t="s">
        <v>237</v>
      </c>
      <c r="C563" s="54" t="s">
        <v>1181</v>
      </c>
      <c r="D563" s="54" t="s">
        <v>1117</v>
      </c>
      <c r="E563" s="55" t="s">
        <v>424</v>
      </c>
      <c r="F563" s="56" t="str">
        <f t="shared" si="8"/>
        <v>060600912082025</v>
      </c>
      <c r="G563" s="54" t="s">
        <v>1184</v>
      </c>
      <c r="H563" s="54"/>
      <c r="I563" s="57"/>
    </row>
    <row r="564" spans="1:9" ht="25.5" x14ac:dyDescent="0.2">
      <c r="A564" s="53" t="s">
        <v>236</v>
      </c>
      <c r="B564" s="54" t="s">
        <v>237</v>
      </c>
      <c r="C564" s="54" t="s">
        <v>1181</v>
      </c>
      <c r="D564" s="54" t="s">
        <v>1119</v>
      </c>
      <c r="E564" s="55" t="s">
        <v>428</v>
      </c>
      <c r="F564" s="56" t="str">
        <f t="shared" si="8"/>
        <v>060600912092025</v>
      </c>
      <c r="G564" s="54" t="s">
        <v>995</v>
      </c>
      <c r="H564" s="54"/>
      <c r="I564" s="57"/>
    </row>
    <row r="565" spans="1:9" ht="25.5" x14ac:dyDescent="0.2">
      <c r="A565" s="53" t="s">
        <v>236</v>
      </c>
      <c r="B565" s="54" t="s">
        <v>237</v>
      </c>
      <c r="C565" s="54" t="s">
        <v>1181</v>
      </c>
      <c r="D565" s="54" t="s">
        <v>1120</v>
      </c>
      <c r="E565" s="55" t="s">
        <v>432</v>
      </c>
      <c r="F565" s="56" t="str">
        <f t="shared" si="8"/>
        <v>060600912102025</v>
      </c>
      <c r="G565" s="54" t="s">
        <v>1014</v>
      </c>
      <c r="H565" s="54"/>
      <c r="I565" s="57"/>
    </row>
    <row r="566" spans="1:9" ht="25.5" x14ac:dyDescent="0.2">
      <c r="A566" s="53" t="s">
        <v>236</v>
      </c>
      <c r="B566" s="54" t="s">
        <v>237</v>
      </c>
      <c r="C566" s="54" t="s">
        <v>1181</v>
      </c>
      <c r="D566" s="54" t="s">
        <v>1122</v>
      </c>
      <c r="E566" s="55" t="s">
        <v>436</v>
      </c>
      <c r="F566" s="56" t="str">
        <f t="shared" si="8"/>
        <v>060600912112025</v>
      </c>
      <c r="G566" s="54" t="s">
        <v>1185</v>
      </c>
      <c r="H566" s="54"/>
      <c r="I566" s="57"/>
    </row>
    <row r="567" spans="1:9" ht="25.5" x14ac:dyDescent="0.2">
      <c r="A567" s="53" t="s">
        <v>236</v>
      </c>
      <c r="B567" s="54" t="s">
        <v>237</v>
      </c>
      <c r="C567" s="54" t="s">
        <v>1181</v>
      </c>
      <c r="D567" s="54" t="s">
        <v>1124</v>
      </c>
      <c r="E567" s="55" t="s">
        <v>440</v>
      </c>
      <c r="F567" s="56" t="str">
        <f t="shared" si="8"/>
        <v>060600912122025</v>
      </c>
      <c r="G567" s="54" t="s">
        <v>1019</v>
      </c>
      <c r="H567" s="54"/>
      <c r="I567" s="57"/>
    </row>
    <row r="568" spans="1:9" x14ac:dyDescent="0.2">
      <c r="A568" s="53" t="s">
        <v>384</v>
      </c>
      <c r="B568" s="54" t="s">
        <v>385</v>
      </c>
      <c r="C568" s="54" t="s">
        <v>1186</v>
      </c>
      <c r="D568" s="54" t="s">
        <v>1107</v>
      </c>
      <c r="E568" s="55" t="s">
        <v>396</v>
      </c>
      <c r="F568" s="56" t="str">
        <f t="shared" si="8"/>
        <v>061200812012025</v>
      </c>
      <c r="G568" s="54" t="s">
        <v>1164</v>
      </c>
      <c r="H568" s="54"/>
      <c r="I568" s="57"/>
    </row>
    <row r="569" spans="1:9" x14ac:dyDescent="0.2">
      <c r="A569" s="53" t="s">
        <v>384</v>
      </c>
      <c r="B569" s="54" t="s">
        <v>385</v>
      </c>
      <c r="C569" s="54" t="s">
        <v>1186</v>
      </c>
      <c r="D569" s="54" t="s">
        <v>1108</v>
      </c>
      <c r="E569" s="55" t="s">
        <v>400</v>
      </c>
      <c r="F569" s="56" t="str">
        <f t="shared" si="8"/>
        <v>061200812022025</v>
      </c>
      <c r="G569" s="54" t="s">
        <v>1144</v>
      </c>
      <c r="H569" s="54"/>
      <c r="I569" s="57"/>
    </row>
    <row r="570" spans="1:9" x14ac:dyDescent="0.2">
      <c r="A570" s="53" t="s">
        <v>384</v>
      </c>
      <c r="B570" s="54" t="s">
        <v>385</v>
      </c>
      <c r="C570" s="54" t="s">
        <v>1186</v>
      </c>
      <c r="D570" s="54" t="s">
        <v>1110</v>
      </c>
      <c r="E570" s="55" t="s">
        <v>404</v>
      </c>
      <c r="F570" s="56" t="str">
        <f t="shared" si="8"/>
        <v>061200812032025</v>
      </c>
      <c r="G570" s="54" t="s">
        <v>1187</v>
      </c>
      <c r="H570" s="54"/>
      <c r="I570" s="57"/>
    </row>
    <row r="571" spans="1:9" x14ac:dyDescent="0.2">
      <c r="A571" s="53" t="s">
        <v>384</v>
      </c>
      <c r="B571" s="54" t="s">
        <v>385</v>
      </c>
      <c r="C571" s="54" t="s">
        <v>1186</v>
      </c>
      <c r="D571" s="54" t="s">
        <v>1111</v>
      </c>
      <c r="E571" s="55" t="s">
        <v>408</v>
      </c>
      <c r="F571" s="56" t="str">
        <f t="shared" si="8"/>
        <v>061200812042025</v>
      </c>
      <c r="G571" s="54" t="s">
        <v>1012</v>
      </c>
      <c r="H571" s="54"/>
      <c r="I571" s="57"/>
    </row>
    <row r="572" spans="1:9" x14ac:dyDescent="0.2">
      <c r="A572" s="53" t="s">
        <v>384</v>
      </c>
      <c r="B572" s="54" t="s">
        <v>385</v>
      </c>
      <c r="C572" s="54" t="s">
        <v>1186</v>
      </c>
      <c r="D572" s="54" t="s">
        <v>1113</v>
      </c>
      <c r="E572" s="55" t="s">
        <v>412</v>
      </c>
      <c r="F572" s="56" t="str">
        <f t="shared" si="8"/>
        <v>061200812052025</v>
      </c>
      <c r="G572" s="54" t="s">
        <v>1188</v>
      </c>
      <c r="H572" s="54"/>
      <c r="I572" s="57"/>
    </row>
    <row r="573" spans="1:9" x14ac:dyDescent="0.2">
      <c r="A573" s="53" t="s">
        <v>384</v>
      </c>
      <c r="B573" s="54" t="s">
        <v>385</v>
      </c>
      <c r="C573" s="54" t="s">
        <v>1186</v>
      </c>
      <c r="D573" s="54" t="s">
        <v>1115</v>
      </c>
      <c r="E573" s="55" t="s">
        <v>416</v>
      </c>
      <c r="F573" s="56" t="str">
        <f t="shared" si="8"/>
        <v>061200812062025</v>
      </c>
      <c r="G573" s="54" t="s">
        <v>1054</v>
      </c>
      <c r="H573" s="54"/>
      <c r="I573" s="57"/>
    </row>
    <row r="574" spans="1:9" x14ac:dyDescent="0.2">
      <c r="A574" s="53" t="s">
        <v>384</v>
      </c>
      <c r="B574" s="54" t="s">
        <v>385</v>
      </c>
      <c r="C574" s="54" t="s">
        <v>1186</v>
      </c>
      <c r="D574" s="54" t="s">
        <v>1116</v>
      </c>
      <c r="E574" s="55" t="s">
        <v>420</v>
      </c>
      <c r="F574" s="56" t="str">
        <f t="shared" si="8"/>
        <v>061200812072025</v>
      </c>
      <c r="G574" s="54" t="s">
        <v>1189</v>
      </c>
      <c r="H574" s="54"/>
      <c r="I574" s="57"/>
    </row>
    <row r="575" spans="1:9" x14ac:dyDescent="0.2">
      <c r="A575" s="53" t="s">
        <v>384</v>
      </c>
      <c r="B575" s="54" t="s">
        <v>385</v>
      </c>
      <c r="C575" s="54" t="s">
        <v>1186</v>
      </c>
      <c r="D575" s="54" t="s">
        <v>1117</v>
      </c>
      <c r="E575" s="55" t="s">
        <v>424</v>
      </c>
      <c r="F575" s="56" t="str">
        <f t="shared" si="8"/>
        <v>061200812082025</v>
      </c>
      <c r="G575" s="54" t="s">
        <v>1190</v>
      </c>
      <c r="H575" s="54"/>
      <c r="I575" s="57"/>
    </row>
    <row r="576" spans="1:9" x14ac:dyDescent="0.2">
      <c r="A576" s="53" t="s">
        <v>384</v>
      </c>
      <c r="B576" s="54" t="s">
        <v>385</v>
      </c>
      <c r="C576" s="54" t="s">
        <v>1186</v>
      </c>
      <c r="D576" s="54" t="s">
        <v>1119</v>
      </c>
      <c r="E576" s="55" t="s">
        <v>428</v>
      </c>
      <c r="F576" s="56" t="str">
        <f t="shared" si="8"/>
        <v>061200812092025</v>
      </c>
      <c r="G576" s="54" t="s">
        <v>1191</v>
      </c>
      <c r="H576" s="54"/>
      <c r="I576" s="57"/>
    </row>
    <row r="577" spans="1:9" x14ac:dyDescent="0.2">
      <c r="A577" s="53" t="s">
        <v>384</v>
      </c>
      <c r="B577" s="54" t="s">
        <v>385</v>
      </c>
      <c r="C577" s="54" t="s">
        <v>1186</v>
      </c>
      <c r="D577" s="54" t="s">
        <v>1120</v>
      </c>
      <c r="E577" s="55" t="s">
        <v>432</v>
      </c>
      <c r="F577" s="56" t="str">
        <f t="shared" si="8"/>
        <v>061200812102025</v>
      </c>
      <c r="G577" s="54" t="s">
        <v>1192</v>
      </c>
      <c r="H577" s="54"/>
      <c r="I577" s="57"/>
    </row>
    <row r="578" spans="1:9" x14ac:dyDescent="0.2">
      <c r="A578" s="53" t="s">
        <v>384</v>
      </c>
      <c r="B578" s="54" t="s">
        <v>385</v>
      </c>
      <c r="C578" s="54" t="s">
        <v>1186</v>
      </c>
      <c r="D578" s="54" t="s">
        <v>1122</v>
      </c>
      <c r="E578" s="55" t="s">
        <v>436</v>
      </c>
      <c r="F578" s="56" t="str">
        <f t="shared" si="8"/>
        <v>061200812112025</v>
      </c>
      <c r="G578" s="54" t="s">
        <v>1193</v>
      </c>
      <c r="H578" s="54"/>
      <c r="I578" s="57"/>
    </row>
    <row r="579" spans="1:9" x14ac:dyDescent="0.2">
      <c r="A579" s="53" t="s">
        <v>384</v>
      </c>
      <c r="B579" s="54" t="s">
        <v>385</v>
      </c>
      <c r="C579" s="54" t="s">
        <v>1186</v>
      </c>
      <c r="D579" s="54" t="s">
        <v>1124</v>
      </c>
      <c r="E579" s="55" t="s">
        <v>440</v>
      </c>
      <c r="F579" s="56" t="str">
        <f t="shared" ref="F579:F642" si="9">CONCATENATE(A579,E579)</f>
        <v>061200812122025</v>
      </c>
      <c r="G579" s="54" t="s">
        <v>1194</v>
      </c>
      <c r="H579" s="54"/>
      <c r="I579" s="57"/>
    </row>
    <row r="580" spans="1:9" ht="25.5" x14ac:dyDescent="0.2">
      <c r="A580" s="53" t="s">
        <v>91</v>
      </c>
      <c r="B580" s="54" t="s">
        <v>1195</v>
      </c>
      <c r="C580" s="54" t="s">
        <v>1196</v>
      </c>
      <c r="D580" s="54" t="s">
        <v>1107</v>
      </c>
      <c r="E580" s="55" t="s">
        <v>396</v>
      </c>
      <c r="F580" s="56" t="str">
        <f t="shared" si="9"/>
        <v>061601512012025</v>
      </c>
      <c r="G580" s="54" t="s">
        <v>1197</v>
      </c>
      <c r="H580" s="54"/>
      <c r="I580" s="57"/>
    </row>
    <row r="581" spans="1:9" ht="25.5" x14ac:dyDescent="0.2">
      <c r="A581" s="53" t="s">
        <v>1198</v>
      </c>
      <c r="B581" s="54" t="s">
        <v>1199</v>
      </c>
      <c r="C581" s="54" t="s">
        <v>1200</v>
      </c>
      <c r="D581" s="54" t="s">
        <v>1107</v>
      </c>
      <c r="E581" s="55" t="s">
        <v>396</v>
      </c>
      <c r="F581" s="56" t="str">
        <f t="shared" si="9"/>
        <v>061513312012025</v>
      </c>
      <c r="G581" s="54" t="s">
        <v>1000</v>
      </c>
      <c r="H581" s="54"/>
      <c r="I581" s="57"/>
    </row>
    <row r="582" spans="1:9" x14ac:dyDescent="0.2">
      <c r="A582" s="53" t="s">
        <v>1198</v>
      </c>
      <c r="B582" s="54" t="s">
        <v>1199</v>
      </c>
      <c r="C582" s="54" t="s">
        <v>1200</v>
      </c>
      <c r="D582" s="54" t="s">
        <v>1108</v>
      </c>
      <c r="E582" s="55" t="s">
        <v>400</v>
      </c>
      <c r="F582" s="56" t="str">
        <f t="shared" si="9"/>
        <v>061513312022025</v>
      </c>
      <c r="G582" s="54" t="s">
        <v>1082</v>
      </c>
      <c r="H582" s="54"/>
      <c r="I582" s="57"/>
    </row>
    <row r="583" spans="1:9" x14ac:dyDescent="0.2">
      <c r="A583" s="53" t="s">
        <v>1198</v>
      </c>
      <c r="B583" s="54" t="s">
        <v>1199</v>
      </c>
      <c r="C583" s="54" t="s">
        <v>1200</v>
      </c>
      <c r="D583" s="54" t="s">
        <v>1110</v>
      </c>
      <c r="E583" s="55" t="s">
        <v>404</v>
      </c>
      <c r="F583" s="56" t="str">
        <f t="shared" si="9"/>
        <v>061513312032025</v>
      </c>
      <c r="G583" s="54" t="s">
        <v>990</v>
      </c>
      <c r="H583" s="54"/>
      <c r="I583" s="57"/>
    </row>
    <row r="584" spans="1:9" ht="25.5" x14ac:dyDescent="0.2">
      <c r="A584" s="53" t="s">
        <v>1198</v>
      </c>
      <c r="B584" s="54" t="s">
        <v>1199</v>
      </c>
      <c r="C584" s="54" t="s">
        <v>1200</v>
      </c>
      <c r="D584" s="54" t="s">
        <v>1111</v>
      </c>
      <c r="E584" s="55" t="s">
        <v>408</v>
      </c>
      <c r="F584" s="56" t="str">
        <f t="shared" si="9"/>
        <v>061513312042025</v>
      </c>
      <c r="G584" s="54" t="s">
        <v>1001</v>
      </c>
      <c r="H584" s="54"/>
      <c r="I584" s="57"/>
    </row>
    <row r="585" spans="1:9" ht="25.5" x14ac:dyDescent="0.2">
      <c r="A585" s="53" t="s">
        <v>1198</v>
      </c>
      <c r="B585" s="54" t="s">
        <v>1199</v>
      </c>
      <c r="C585" s="54" t="s">
        <v>1200</v>
      </c>
      <c r="D585" s="54" t="s">
        <v>1113</v>
      </c>
      <c r="E585" s="55" t="s">
        <v>412</v>
      </c>
      <c r="F585" s="56" t="str">
        <f t="shared" si="9"/>
        <v>061513312052025</v>
      </c>
      <c r="G585" s="54" t="s">
        <v>1129</v>
      </c>
      <c r="H585" s="54"/>
      <c r="I585" s="57"/>
    </row>
    <row r="586" spans="1:9" ht="25.5" x14ac:dyDescent="0.2">
      <c r="A586" s="53" t="s">
        <v>1198</v>
      </c>
      <c r="B586" s="54" t="s">
        <v>1199</v>
      </c>
      <c r="C586" s="54" t="s">
        <v>1200</v>
      </c>
      <c r="D586" s="54" t="s">
        <v>1115</v>
      </c>
      <c r="E586" s="55" t="s">
        <v>416</v>
      </c>
      <c r="F586" s="56" t="str">
        <f t="shared" si="9"/>
        <v>061513312062025</v>
      </c>
      <c r="G586" s="54" t="s">
        <v>1058</v>
      </c>
      <c r="H586" s="54"/>
      <c r="I586" s="57"/>
    </row>
    <row r="587" spans="1:9" ht="25.5" x14ac:dyDescent="0.2">
      <c r="A587" s="53" t="s">
        <v>1198</v>
      </c>
      <c r="B587" s="54" t="s">
        <v>1199</v>
      </c>
      <c r="C587" s="54" t="s">
        <v>1200</v>
      </c>
      <c r="D587" s="54" t="s">
        <v>1116</v>
      </c>
      <c r="E587" s="55" t="s">
        <v>420</v>
      </c>
      <c r="F587" s="56" t="str">
        <f t="shared" si="9"/>
        <v>061513312072025</v>
      </c>
      <c r="G587" s="54" t="s">
        <v>1002</v>
      </c>
      <c r="H587" s="54"/>
      <c r="I587" s="57"/>
    </row>
    <row r="588" spans="1:9" x14ac:dyDescent="0.2">
      <c r="A588" s="53" t="s">
        <v>1198</v>
      </c>
      <c r="B588" s="54" t="s">
        <v>1199</v>
      </c>
      <c r="C588" s="54" t="s">
        <v>1200</v>
      </c>
      <c r="D588" s="54" t="s">
        <v>1117</v>
      </c>
      <c r="E588" s="55" t="s">
        <v>424</v>
      </c>
      <c r="F588" s="56" t="str">
        <f t="shared" si="9"/>
        <v>061513312082025</v>
      </c>
      <c r="G588" s="54" t="s">
        <v>1118</v>
      </c>
      <c r="H588" s="54"/>
      <c r="I588" s="57"/>
    </row>
    <row r="589" spans="1:9" ht="25.5" x14ac:dyDescent="0.2">
      <c r="A589" s="53" t="s">
        <v>1198</v>
      </c>
      <c r="B589" s="54" t="s">
        <v>1199</v>
      </c>
      <c r="C589" s="54" t="s">
        <v>1200</v>
      </c>
      <c r="D589" s="54" t="s">
        <v>1119</v>
      </c>
      <c r="E589" s="55" t="s">
        <v>428</v>
      </c>
      <c r="F589" s="56" t="str">
        <f t="shared" si="9"/>
        <v>061513312092025</v>
      </c>
      <c r="G589" s="54" t="s">
        <v>1066</v>
      </c>
      <c r="H589" s="54"/>
      <c r="I589" s="57"/>
    </row>
    <row r="590" spans="1:9" ht="25.5" x14ac:dyDescent="0.2">
      <c r="A590" s="53" t="s">
        <v>1198</v>
      </c>
      <c r="B590" s="54" t="s">
        <v>1199</v>
      </c>
      <c r="C590" s="54" t="s">
        <v>1200</v>
      </c>
      <c r="D590" s="54" t="s">
        <v>1120</v>
      </c>
      <c r="E590" s="55" t="s">
        <v>432</v>
      </c>
      <c r="F590" s="56" t="str">
        <f t="shared" si="9"/>
        <v>061513312102025</v>
      </c>
      <c r="G590" s="54" t="s">
        <v>1131</v>
      </c>
      <c r="H590" s="54"/>
      <c r="I590" s="57"/>
    </row>
    <row r="591" spans="1:9" x14ac:dyDescent="0.2">
      <c r="A591" s="53" t="s">
        <v>1198</v>
      </c>
      <c r="B591" s="54" t="s">
        <v>1199</v>
      </c>
      <c r="C591" s="54" t="s">
        <v>1200</v>
      </c>
      <c r="D591" s="54" t="s">
        <v>1122</v>
      </c>
      <c r="E591" s="55" t="s">
        <v>436</v>
      </c>
      <c r="F591" s="56" t="str">
        <f t="shared" si="9"/>
        <v>061513312112025</v>
      </c>
      <c r="G591" s="54" t="s">
        <v>1123</v>
      </c>
      <c r="H591" s="54"/>
      <c r="I591" s="57"/>
    </row>
    <row r="592" spans="1:9" ht="25.5" x14ac:dyDescent="0.2">
      <c r="A592" s="53" t="s">
        <v>1198</v>
      </c>
      <c r="B592" s="54" t="s">
        <v>1199</v>
      </c>
      <c r="C592" s="54" t="s">
        <v>1200</v>
      </c>
      <c r="D592" s="54" t="s">
        <v>1124</v>
      </c>
      <c r="E592" s="55" t="s">
        <v>440</v>
      </c>
      <c r="F592" s="56" t="str">
        <f t="shared" si="9"/>
        <v>061513312122025</v>
      </c>
      <c r="G592" s="54" t="s">
        <v>1132</v>
      </c>
      <c r="H592" s="54"/>
      <c r="I592" s="57"/>
    </row>
    <row r="593" spans="1:9" ht="25.5" x14ac:dyDescent="0.2">
      <c r="A593" s="53" t="s">
        <v>1201</v>
      </c>
      <c r="B593" s="54" t="s">
        <v>1202</v>
      </c>
      <c r="C593" s="54" t="s">
        <v>1203</v>
      </c>
      <c r="D593" s="54" t="s">
        <v>1107</v>
      </c>
      <c r="E593" s="55" t="s">
        <v>396</v>
      </c>
      <c r="F593" s="56" t="str">
        <f t="shared" si="9"/>
        <v>061501212012025</v>
      </c>
      <c r="G593" s="54" t="s">
        <v>1000</v>
      </c>
      <c r="H593" s="54"/>
      <c r="I593" s="57"/>
    </row>
    <row r="594" spans="1:9" ht="25.5" x14ac:dyDescent="0.2">
      <c r="A594" s="53" t="s">
        <v>1201</v>
      </c>
      <c r="B594" s="54" t="s">
        <v>1202</v>
      </c>
      <c r="C594" s="54" t="s">
        <v>1203</v>
      </c>
      <c r="D594" s="54" t="s">
        <v>1108</v>
      </c>
      <c r="E594" s="55" t="s">
        <v>400</v>
      </c>
      <c r="F594" s="56" t="str">
        <f t="shared" si="9"/>
        <v>061501212022025</v>
      </c>
      <c r="G594" s="54" t="s">
        <v>1082</v>
      </c>
      <c r="H594" s="54"/>
      <c r="I594" s="57"/>
    </row>
    <row r="595" spans="1:9" ht="25.5" x14ac:dyDescent="0.2">
      <c r="A595" s="53" t="s">
        <v>1201</v>
      </c>
      <c r="B595" s="54" t="s">
        <v>1202</v>
      </c>
      <c r="C595" s="54" t="s">
        <v>1203</v>
      </c>
      <c r="D595" s="54" t="s">
        <v>1110</v>
      </c>
      <c r="E595" s="55" t="s">
        <v>404</v>
      </c>
      <c r="F595" s="56" t="str">
        <f t="shared" si="9"/>
        <v>061501212032025</v>
      </c>
      <c r="G595" s="54" t="s">
        <v>990</v>
      </c>
      <c r="H595" s="54"/>
      <c r="I595" s="57"/>
    </row>
    <row r="596" spans="1:9" ht="25.5" x14ac:dyDescent="0.2">
      <c r="A596" s="53" t="s">
        <v>1201</v>
      </c>
      <c r="B596" s="54" t="s">
        <v>1202</v>
      </c>
      <c r="C596" s="54" t="s">
        <v>1203</v>
      </c>
      <c r="D596" s="54" t="s">
        <v>1111</v>
      </c>
      <c r="E596" s="55" t="s">
        <v>408</v>
      </c>
      <c r="F596" s="56" t="str">
        <f t="shared" si="9"/>
        <v>061501212042025</v>
      </c>
      <c r="G596" s="54" t="s">
        <v>1128</v>
      </c>
      <c r="H596" s="54"/>
      <c r="I596" s="57"/>
    </row>
    <row r="597" spans="1:9" ht="38.25" x14ac:dyDescent="0.2">
      <c r="A597" s="53" t="s">
        <v>1201</v>
      </c>
      <c r="B597" s="54" t="s">
        <v>1202</v>
      </c>
      <c r="C597" s="54" t="s">
        <v>1203</v>
      </c>
      <c r="D597" s="54" t="s">
        <v>1113</v>
      </c>
      <c r="E597" s="55" t="s">
        <v>412</v>
      </c>
      <c r="F597" s="56" t="str">
        <f t="shared" si="9"/>
        <v>061501212052025</v>
      </c>
      <c r="G597" s="54" t="s">
        <v>1204</v>
      </c>
      <c r="H597" s="54"/>
      <c r="I597" s="57"/>
    </row>
    <row r="598" spans="1:9" ht="25.5" x14ac:dyDescent="0.2">
      <c r="A598" s="53" t="s">
        <v>1201</v>
      </c>
      <c r="B598" s="54" t="s">
        <v>1202</v>
      </c>
      <c r="C598" s="54" t="s">
        <v>1203</v>
      </c>
      <c r="D598" s="54" t="s">
        <v>1115</v>
      </c>
      <c r="E598" s="55" t="s">
        <v>416</v>
      </c>
      <c r="F598" s="56" t="str">
        <f t="shared" si="9"/>
        <v>061501212062025</v>
      </c>
      <c r="G598" s="54" t="s">
        <v>1058</v>
      </c>
      <c r="H598" s="54"/>
      <c r="I598" s="57"/>
    </row>
    <row r="599" spans="1:9" ht="25.5" x14ac:dyDescent="0.2">
      <c r="A599" s="53" t="s">
        <v>1201</v>
      </c>
      <c r="B599" s="54" t="s">
        <v>1202</v>
      </c>
      <c r="C599" s="54" t="s">
        <v>1203</v>
      </c>
      <c r="D599" s="54" t="s">
        <v>1116</v>
      </c>
      <c r="E599" s="55" t="s">
        <v>420</v>
      </c>
      <c r="F599" s="56" t="str">
        <f t="shared" si="9"/>
        <v>061501212072025</v>
      </c>
      <c r="G599" s="54" t="s">
        <v>1002</v>
      </c>
      <c r="H599" s="54"/>
      <c r="I599" s="57"/>
    </row>
    <row r="600" spans="1:9" ht="25.5" x14ac:dyDescent="0.2">
      <c r="A600" s="53" t="s">
        <v>1201</v>
      </c>
      <c r="B600" s="54" t="s">
        <v>1202</v>
      </c>
      <c r="C600" s="54" t="s">
        <v>1203</v>
      </c>
      <c r="D600" s="54" t="s">
        <v>1117</v>
      </c>
      <c r="E600" s="55" t="s">
        <v>424</v>
      </c>
      <c r="F600" s="56" t="str">
        <f t="shared" si="9"/>
        <v>061501212082025</v>
      </c>
      <c r="G600" s="54" t="s">
        <v>1118</v>
      </c>
      <c r="H600" s="54"/>
      <c r="I600" s="57"/>
    </row>
    <row r="601" spans="1:9" ht="25.5" x14ac:dyDescent="0.2">
      <c r="A601" s="53" t="s">
        <v>1201</v>
      </c>
      <c r="B601" s="54" t="s">
        <v>1202</v>
      </c>
      <c r="C601" s="54" t="s">
        <v>1203</v>
      </c>
      <c r="D601" s="54" t="s">
        <v>1119</v>
      </c>
      <c r="E601" s="55" t="s">
        <v>428</v>
      </c>
      <c r="F601" s="56" t="str">
        <f t="shared" si="9"/>
        <v>061501212092025</v>
      </c>
      <c r="G601" s="54" t="s">
        <v>1066</v>
      </c>
      <c r="H601" s="54"/>
      <c r="I601" s="57"/>
    </row>
    <row r="602" spans="1:9" ht="25.5" x14ac:dyDescent="0.2">
      <c r="A602" s="53" t="s">
        <v>1201</v>
      </c>
      <c r="B602" s="54" t="s">
        <v>1202</v>
      </c>
      <c r="C602" s="54" t="s">
        <v>1203</v>
      </c>
      <c r="D602" s="54" t="s">
        <v>1120</v>
      </c>
      <c r="E602" s="55" t="s">
        <v>432</v>
      </c>
      <c r="F602" s="56" t="str">
        <f t="shared" si="9"/>
        <v>061501212102025</v>
      </c>
      <c r="G602" s="54" t="s">
        <v>1131</v>
      </c>
      <c r="H602" s="54"/>
      <c r="I602" s="57"/>
    </row>
    <row r="603" spans="1:9" ht="25.5" x14ac:dyDescent="0.2">
      <c r="A603" s="53" t="s">
        <v>1201</v>
      </c>
      <c r="B603" s="54" t="s">
        <v>1202</v>
      </c>
      <c r="C603" s="54" t="s">
        <v>1203</v>
      </c>
      <c r="D603" s="54" t="s">
        <v>1122</v>
      </c>
      <c r="E603" s="55" t="s">
        <v>436</v>
      </c>
      <c r="F603" s="56" t="str">
        <f t="shared" si="9"/>
        <v>061501212112025</v>
      </c>
      <c r="G603" s="54" t="s">
        <v>1123</v>
      </c>
      <c r="H603" s="54"/>
      <c r="I603" s="57"/>
    </row>
    <row r="604" spans="1:9" ht="25.5" x14ac:dyDescent="0.2">
      <c r="A604" s="53" t="s">
        <v>1201</v>
      </c>
      <c r="B604" s="54" t="s">
        <v>1202</v>
      </c>
      <c r="C604" s="54" t="s">
        <v>1203</v>
      </c>
      <c r="D604" s="54" t="s">
        <v>1124</v>
      </c>
      <c r="E604" s="55" t="s">
        <v>440</v>
      </c>
      <c r="F604" s="56" t="str">
        <f t="shared" si="9"/>
        <v>061501212122025</v>
      </c>
      <c r="G604" s="54" t="s">
        <v>1132</v>
      </c>
      <c r="H604" s="54"/>
      <c r="I604" s="57"/>
    </row>
    <row r="605" spans="1:9" x14ac:dyDescent="0.2">
      <c r="A605" s="53" t="s">
        <v>1205</v>
      </c>
      <c r="B605" s="54" t="s">
        <v>1206</v>
      </c>
      <c r="C605" s="54" t="s">
        <v>1207</v>
      </c>
      <c r="D605" s="54" t="s">
        <v>1107</v>
      </c>
      <c r="E605" s="55" t="s">
        <v>396</v>
      </c>
      <c r="F605" s="56" t="str">
        <f t="shared" si="9"/>
        <v>060502312012025</v>
      </c>
      <c r="G605" s="54" t="s">
        <v>1208</v>
      </c>
      <c r="H605" s="54"/>
      <c r="I605" s="57"/>
    </row>
    <row r="606" spans="1:9" x14ac:dyDescent="0.2">
      <c r="A606" s="53" t="s">
        <v>1209</v>
      </c>
      <c r="B606" s="54" t="s">
        <v>1210</v>
      </c>
      <c r="C606" s="54" t="s">
        <v>1211</v>
      </c>
      <c r="D606" s="54" t="s">
        <v>1107</v>
      </c>
      <c r="E606" s="55" t="s">
        <v>396</v>
      </c>
      <c r="F606" s="56" t="str">
        <f t="shared" si="9"/>
        <v>060502412012025</v>
      </c>
      <c r="G606" s="54" t="s">
        <v>1208</v>
      </c>
      <c r="H606" s="54"/>
      <c r="I606" s="57"/>
    </row>
    <row r="607" spans="1:9" x14ac:dyDescent="0.2">
      <c r="A607" s="53" t="s">
        <v>1212</v>
      </c>
      <c r="B607" s="54" t="s">
        <v>1213</v>
      </c>
      <c r="C607" s="54" t="s">
        <v>1214</v>
      </c>
      <c r="D607" s="54" t="s">
        <v>1107</v>
      </c>
      <c r="E607" s="55" t="s">
        <v>396</v>
      </c>
      <c r="F607" s="56" t="str">
        <f t="shared" si="9"/>
        <v>060502512012025</v>
      </c>
      <c r="G607" s="54" t="s">
        <v>1208</v>
      </c>
      <c r="H607" s="54"/>
      <c r="I607" s="57"/>
    </row>
    <row r="608" spans="1:9" x14ac:dyDescent="0.2">
      <c r="A608" s="53" t="s">
        <v>1215</v>
      </c>
      <c r="B608" s="54" t="s">
        <v>1216</v>
      </c>
      <c r="C608" s="54" t="s">
        <v>1217</v>
      </c>
      <c r="D608" s="54" t="s">
        <v>1107</v>
      </c>
      <c r="E608" s="55" t="s">
        <v>396</v>
      </c>
      <c r="F608" s="56" t="str">
        <f t="shared" si="9"/>
        <v>060502612012025</v>
      </c>
      <c r="G608" s="54" t="s">
        <v>1208</v>
      </c>
      <c r="H608" s="54"/>
      <c r="I608" s="57"/>
    </row>
    <row r="609" spans="1:9" ht="25.5" x14ac:dyDescent="0.2">
      <c r="A609" s="53" t="s">
        <v>1218</v>
      </c>
      <c r="B609" s="54" t="s">
        <v>1219</v>
      </c>
      <c r="C609" s="54" t="s">
        <v>1220</v>
      </c>
      <c r="D609" s="54" t="s">
        <v>1107</v>
      </c>
      <c r="E609" s="55" t="s">
        <v>396</v>
      </c>
      <c r="F609" s="56" t="str">
        <f t="shared" si="9"/>
        <v>061513512012025</v>
      </c>
      <c r="G609" s="54" t="s">
        <v>1000</v>
      </c>
      <c r="H609" s="54"/>
      <c r="I609" s="57"/>
    </row>
    <row r="610" spans="1:9" x14ac:dyDescent="0.2">
      <c r="A610" s="53" t="s">
        <v>1218</v>
      </c>
      <c r="B610" s="54" t="s">
        <v>1219</v>
      </c>
      <c r="C610" s="54" t="s">
        <v>1220</v>
      </c>
      <c r="D610" s="54" t="s">
        <v>1108</v>
      </c>
      <c r="E610" s="55" t="s">
        <v>400</v>
      </c>
      <c r="F610" s="56" t="str">
        <f t="shared" si="9"/>
        <v>061513512022025</v>
      </c>
      <c r="G610" s="54" t="s">
        <v>1082</v>
      </c>
      <c r="H610" s="54"/>
      <c r="I610" s="57"/>
    </row>
    <row r="611" spans="1:9" x14ac:dyDescent="0.2">
      <c r="A611" s="53" t="s">
        <v>1218</v>
      </c>
      <c r="B611" s="54" t="s">
        <v>1219</v>
      </c>
      <c r="C611" s="54" t="s">
        <v>1220</v>
      </c>
      <c r="D611" s="54" t="s">
        <v>1110</v>
      </c>
      <c r="E611" s="55" t="s">
        <v>404</v>
      </c>
      <c r="F611" s="56" t="str">
        <f t="shared" si="9"/>
        <v>061513512032025</v>
      </c>
      <c r="G611" s="54" t="s">
        <v>990</v>
      </c>
      <c r="H611" s="54"/>
      <c r="I611" s="57"/>
    </row>
    <row r="612" spans="1:9" ht="25.5" x14ac:dyDescent="0.2">
      <c r="A612" s="53" t="s">
        <v>1218</v>
      </c>
      <c r="B612" s="54" t="s">
        <v>1219</v>
      </c>
      <c r="C612" s="54" t="s">
        <v>1220</v>
      </c>
      <c r="D612" s="54" t="s">
        <v>1111</v>
      </c>
      <c r="E612" s="55" t="s">
        <v>408</v>
      </c>
      <c r="F612" s="56" t="str">
        <f t="shared" si="9"/>
        <v>061513512042025</v>
      </c>
      <c r="G612" s="54" t="s">
        <v>1001</v>
      </c>
      <c r="H612" s="54"/>
      <c r="I612" s="57"/>
    </row>
    <row r="613" spans="1:9" ht="25.5" x14ac:dyDescent="0.2">
      <c r="A613" s="53" t="s">
        <v>1218</v>
      </c>
      <c r="B613" s="54" t="s">
        <v>1219</v>
      </c>
      <c r="C613" s="54" t="s">
        <v>1220</v>
      </c>
      <c r="D613" s="54" t="s">
        <v>1113</v>
      </c>
      <c r="E613" s="55" t="s">
        <v>412</v>
      </c>
      <c r="F613" s="56" t="str">
        <f t="shared" si="9"/>
        <v>061513512052025</v>
      </c>
      <c r="G613" s="54" t="s">
        <v>1129</v>
      </c>
      <c r="H613" s="54"/>
      <c r="I613" s="57"/>
    </row>
    <row r="614" spans="1:9" ht="25.5" x14ac:dyDescent="0.2">
      <c r="A614" s="53" t="s">
        <v>1218</v>
      </c>
      <c r="B614" s="54" t="s">
        <v>1219</v>
      </c>
      <c r="C614" s="54" t="s">
        <v>1220</v>
      </c>
      <c r="D614" s="54" t="s">
        <v>1115</v>
      </c>
      <c r="E614" s="55" t="s">
        <v>416</v>
      </c>
      <c r="F614" s="56" t="str">
        <f t="shared" si="9"/>
        <v>061513512062025</v>
      </c>
      <c r="G614" s="54" t="s">
        <v>1058</v>
      </c>
      <c r="H614" s="54"/>
      <c r="I614" s="57"/>
    </row>
    <row r="615" spans="1:9" ht="25.5" x14ac:dyDescent="0.2">
      <c r="A615" s="53" t="s">
        <v>1218</v>
      </c>
      <c r="B615" s="54" t="s">
        <v>1219</v>
      </c>
      <c r="C615" s="54" t="s">
        <v>1220</v>
      </c>
      <c r="D615" s="54" t="s">
        <v>1116</v>
      </c>
      <c r="E615" s="55" t="s">
        <v>420</v>
      </c>
      <c r="F615" s="56" t="str">
        <f t="shared" si="9"/>
        <v>061513512072025</v>
      </c>
      <c r="G615" s="54" t="s">
        <v>1002</v>
      </c>
      <c r="H615" s="54"/>
      <c r="I615" s="57"/>
    </row>
    <row r="616" spans="1:9" x14ac:dyDescent="0.2">
      <c r="A616" s="53" t="s">
        <v>1218</v>
      </c>
      <c r="B616" s="54" t="s">
        <v>1219</v>
      </c>
      <c r="C616" s="54" t="s">
        <v>1220</v>
      </c>
      <c r="D616" s="54" t="s">
        <v>1117</v>
      </c>
      <c r="E616" s="55" t="s">
        <v>424</v>
      </c>
      <c r="F616" s="56" t="str">
        <f t="shared" si="9"/>
        <v>061513512082025</v>
      </c>
      <c r="G616" s="54" t="s">
        <v>1118</v>
      </c>
      <c r="H616" s="54"/>
      <c r="I616" s="57"/>
    </row>
    <row r="617" spans="1:9" ht="25.5" x14ac:dyDescent="0.2">
      <c r="A617" s="53" t="s">
        <v>1218</v>
      </c>
      <c r="B617" s="54" t="s">
        <v>1219</v>
      </c>
      <c r="C617" s="54" t="s">
        <v>1220</v>
      </c>
      <c r="D617" s="54" t="s">
        <v>1119</v>
      </c>
      <c r="E617" s="55" t="s">
        <v>428</v>
      </c>
      <c r="F617" s="56" t="str">
        <f t="shared" si="9"/>
        <v>061513512092025</v>
      </c>
      <c r="G617" s="54" t="s">
        <v>1066</v>
      </c>
      <c r="H617" s="54"/>
      <c r="I617" s="57"/>
    </row>
    <row r="618" spans="1:9" ht="25.5" x14ac:dyDescent="0.2">
      <c r="A618" s="53" t="s">
        <v>1218</v>
      </c>
      <c r="B618" s="54" t="s">
        <v>1219</v>
      </c>
      <c r="C618" s="54" t="s">
        <v>1220</v>
      </c>
      <c r="D618" s="54" t="s">
        <v>1120</v>
      </c>
      <c r="E618" s="55" t="s">
        <v>432</v>
      </c>
      <c r="F618" s="56" t="str">
        <f t="shared" si="9"/>
        <v>061513512102025</v>
      </c>
      <c r="G618" s="54" t="s">
        <v>1131</v>
      </c>
      <c r="H618" s="54"/>
      <c r="I618" s="57"/>
    </row>
    <row r="619" spans="1:9" x14ac:dyDescent="0.2">
      <c r="A619" s="53" t="s">
        <v>1218</v>
      </c>
      <c r="B619" s="54" t="s">
        <v>1219</v>
      </c>
      <c r="C619" s="54" t="s">
        <v>1220</v>
      </c>
      <c r="D619" s="54" t="s">
        <v>1122</v>
      </c>
      <c r="E619" s="55" t="s">
        <v>436</v>
      </c>
      <c r="F619" s="56" t="str">
        <f t="shared" si="9"/>
        <v>061513512112025</v>
      </c>
      <c r="G619" s="54" t="s">
        <v>1123</v>
      </c>
      <c r="H619" s="54"/>
      <c r="I619" s="57"/>
    </row>
    <row r="620" spans="1:9" ht="25.5" x14ac:dyDescent="0.2">
      <c r="A620" s="53" t="s">
        <v>1218</v>
      </c>
      <c r="B620" s="54" t="s">
        <v>1219</v>
      </c>
      <c r="C620" s="54" t="s">
        <v>1220</v>
      </c>
      <c r="D620" s="54" t="s">
        <v>1124</v>
      </c>
      <c r="E620" s="55" t="s">
        <v>440</v>
      </c>
      <c r="F620" s="56" t="str">
        <f t="shared" si="9"/>
        <v>061513512122025</v>
      </c>
      <c r="G620" s="54" t="s">
        <v>1132</v>
      </c>
      <c r="H620" s="54"/>
      <c r="I620" s="57"/>
    </row>
    <row r="621" spans="1:9" x14ac:dyDescent="0.2">
      <c r="A621" s="53" t="s">
        <v>93</v>
      </c>
      <c r="B621" s="54" t="s">
        <v>1221</v>
      </c>
      <c r="C621" s="54" t="s">
        <v>1222</v>
      </c>
      <c r="D621" s="54" t="s">
        <v>1107</v>
      </c>
      <c r="E621" s="55" t="s">
        <v>396</v>
      </c>
      <c r="F621" s="56" t="str">
        <f t="shared" si="9"/>
        <v>061601612012025</v>
      </c>
      <c r="G621" s="54" t="s">
        <v>1197</v>
      </c>
      <c r="H621" s="54"/>
      <c r="I621" s="57"/>
    </row>
    <row r="622" spans="1:9" ht="25.5" x14ac:dyDescent="0.2">
      <c r="A622" s="53" t="s">
        <v>1223</v>
      </c>
      <c r="B622" s="54" t="s">
        <v>1224</v>
      </c>
      <c r="C622" s="54" t="s">
        <v>1225</v>
      </c>
      <c r="D622" s="54" t="s">
        <v>1107</v>
      </c>
      <c r="E622" s="55" t="s">
        <v>396</v>
      </c>
      <c r="F622" s="56" t="str">
        <f t="shared" si="9"/>
        <v>061602012012025</v>
      </c>
      <c r="G622" s="54" t="s">
        <v>1197</v>
      </c>
      <c r="H622" s="54"/>
      <c r="I622" s="57"/>
    </row>
    <row r="623" spans="1:9" ht="25.5" x14ac:dyDescent="0.2">
      <c r="A623" s="53" t="s">
        <v>95</v>
      </c>
      <c r="B623" s="54" t="s">
        <v>1226</v>
      </c>
      <c r="C623" s="54" t="s">
        <v>1227</v>
      </c>
      <c r="D623" s="54" t="s">
        <v>1107</v>
      </c>
      <c r="E623" s="55" t="s">
        <v>396</v>
      </c>
      <c r="F623" s="56" t="str">
        <f t="shared" si="9"/>
        <v>061601912012025</v>
      </c>
      <c r="G623" s="54" t="s">
        <v>1197</v>
      </c>
      <c r="H623" s="54"/>
      <c r="I623" s="57"/>
    </row>
    <row r="624" spans="1:9" ht="25.5" x14ac:dyDescent="0.2">
      <c r="A624" s="53" t="s">
        <v>1228</v>
      </c>
      <c r="B624" s="54" t="s">
        <v>1229</v>
      </c>
      <c r="C624" s="54" t="s">
        <v>1230</v>
      </c>
      <c r="D624" s="54" t="s">
        <v>1107</v>
      </c>
      <c r="E624" s="55" t="s">
        <v>396</v>
      </c>
      <c r="F624" s="56" t="str">
        <f t="shared" si="9"/>
        <v>061601812012025</v>
      </c>
      <c r="G624" s="54" t="s">
        <v>1197</v>
      </c>
      <c r="H624" s="54"/>
      <c r="I624" s="57"/>
    </row>
    <row r="625" spans="1:9" ht="25.5" x14ac:dyDescent="0.2">
      <c r="A625" s="53" t="s">
        <v>94</v>
      </c>
      <c r="B625" s="54" t="s">
        <v>1231</v>
      </c>
      <c r="C625" s="54" t="s">
        <v>1232</v>
      </c>
      <c r="D625" s="54" t="s">
        <v>1107</v>
      </c>
      <c r="E625" s="55" t="s">
        <v>396</v>
      </c>
      <c r="F625" s="56" t="str">
        <f t="shared" si="9"/>
        <v>061601712012025</v>
      </c>
      <c r="G625" s="54" t="s">
        <v>1197</v>
      </c>
      <c r="H625" s="54"/>
      <c r="I625" s="57"/>
    </row>
    <row r="626" spans="1:9" x14ac:dyDescent="0.2">
      <c r="A626" s="53" t="s">
        <v>82</v>
      </c>
      <c r="B626" s="54" t="s">
        <v>1233</v>
      </c>
      <c r="C626" s="54" t="s">
        <v>1234</v>
      </c>
      <c r="D626" s="54" t="s">
        <v>1107</v>
      </c>
      <c r="E626" s="55" t="s">
        <v>396</v>
      </c>
      <c r="F626" s="56" t="str">
        <f t="shared" si="9"/>
        <v>061600712012025</v>
      </c>
      <c r="G626" s="54" t="s">
        <v>1197</v>
      </c>
      <c r="H626" s="54"/>
      <c r="I626" s="57"/>
    </row>
    <row r="627" spans="1:9" x14ac:dyDescent="0.2">
      <c r="A627" s="53" t="s">
        <v>89</v>
      </c>
      <c r="B627" s="54" t="s">
        <v>1235</v>
      </c>
      <c r="C627" s="54" t="s">
        <v>1236</v>
      </c>
      <c r="D627" s="54" t="s">
        <v>1107</v>
      </c>
      <c r="E627" s="55" t="s">
        <v>396</v>
      </c>
      <c r="F627" s="56" t="str">
        <f t="shared" si="9"/>
        <v>061601212012025</v>
      </c>
      <c r="G627" s="54" t="s">
        <v>1237</v>
      </c>
      <c r="H627" s="54"/>
      <c r="I627" s="57"/>
    </row>
    <row r="628" spans="1:9" ht="25.5" x14ac:dyDescent="0.2">
      <c r="A628" s="53" t="s">
        <v>81</v>
      </c>
      <c r="B628" s="54" t="s">
        <v>1238</v>
      </c>
      <c r="C628" s="54" t="s">
        <v>1239</v>
      </c>
      <c r="D628" s="54" t="s">
        <v>1107</v>
      </c>
      <c r="E628" s="55" t="s">
        <v>396</v>
      </c>
      <c r="F628" s="56" t="str">
        <f t="shared" si="9"/>
        <v>061602212012025</v>
      </c>
      <c r="G628" s="54" t="s">
        <v>1197</v>
      </c>
      <c r="H628" s="54"/>
      <c r="I628" s="57"/>
    </row>
    <row r="629" spans="1:9" ht="25.5" x14ac:dyDescent="0.2">
      <c r="A629" s="53" t="s">
        <v>75</v>
      </c>
      <c r="B629" s="54" t="s">
        <v>1240</v>
      </c>
      <c r="C629" s="54" t="s">
        <v>1241</v>
      </c>
      <c r="D629" s="54" t="s">
        <v>1107</v>
      </c>
      <c r="E629" s="55" t="s">
        <v>396</v>
      </c>
      <c r="F629" s="56" t="str">
        <f t="shared" si="9"/>
        <v>061600412012025</v>
      </c>
      <c r="G629" s="54" t="s">
        <v>1242</v>
      </c>
      <c r="H629" s="54"/>
      <c r="I629" s="57"/>
    </row>
    <row r="630" spans="1:9" ht="38.25" x14ac:dyDescent="0.2">
      <c r="A630" s="53" t="s">
        <v>164</v>
      </c>
      <c r="B630" s="54" t="s">
        <v>165</v>
      </c>
      <c r="C630" s="54" t="s">
        <v>1243</v>
      </c>
      <c r="D630" s="54" t="s">
        <v>1107</v>
      </c>
      <c r="E630" s="55" t="s">
        <v>396</v>
      </c>
      <c r="F630" s="56" t="str">
        <f t="shared" si="9"/>
        <v>061001912012025</v>
      </c>
      <c r="G630" s="54" t="s">
        <v>1244</v>
      </c>
      <c r="H630" s="54"/>
      <c r="I630" s="57"/>
    </row>
    <row r="631" spans="1:9" ht="25.5" x14ac:dyDescent="0.2">
      <c r="A631" s="53" t="s">
        <v>157</v>
      </c>
      <c r="B631" s="54" t="s">
        <v>158</v>
      </c>
      <c r="C631" s="54" t="s">
        <v>1245</v>
      </c>
      <c r="D631" s="54" t="s">
        <v>1107</v>
      </c>
      <c r="E631" s="55" t="s">
        <v>396</v>
      </c>
      <c r="F631" s="56" t="str">
        <f t="shared" si="9"/>
        <v>061510312012025</v>
      </c>
      <c r="G631" s="54" t="s">
        <v>1000</v>
      </c>
      <c r="H631" s="54"/>
      <c r="I631" s="57"/>
    </row>
    <row r="632" spans="1:9" x14ac:dyDescent="0.2">
      <c r="A632" s="53" t="s">
        <v>157</v>
      </c>
      <c r="B632" s="54" t="s">
        <v>158</v>
      </c>
      <c r="C632" s="54" t="s">
        <v>1245</v>
      </c>
      <c r="D632" s="54" t="s">
        <v>1108</v>
      </c>
      <c r="E632" s="55" t="s">
        <v>400</v>
      </c>
      <c r="F632" s="56" t="str">
        <f t="shared" si="9"/>
        <v>061510312022025</v>
      </c>
      <c r="G632" s="54" t="s">
        <v>1082</v>
      </c>
      <c r="H632" s="54"/>
      <c r="I632" s="57"/>
    </row>
    <row r="633" spans="1:9" x14ac:dyDescent="0.2">
      <c r="A633" s="53" t="s">
        <v>157</v>
      </c>
      <c r="B633" s="54" t="s">
        <v>158</v>
      </c>
      <c r="C633" s="54" t="s">
        <v>1245</v>
      </c>
      <c r="D633" s="54" t="s">
        <v>1110</v>
      </c>
      <c r="E633" s="55" t="s">
        <v>404</v>
      </c>
      <c r="F633" s="56" t="str">
        <f t="shared" si="9"/>
        <v>061510312032025</v>
      </c>
      <c r="G633" s="54" t="s">
        <v>990</v>
      </c>
      <c r="H633" s="54"/>
      <c r="I633" s="57"/>
    </row>
    <row r="634" spans="1:9" ht="25.5" x14ac:dyDescent="0.2">
      <c r="A634" s="53" t="s">
        <v>157</v>
      </c>
      <c r="B634" s="54" t="s">
        <v>158</v>
      </c>
      <c r="C634" s="54" t="s">
        <v>1245</v>
      </c>
      <c r="D634" s="54" t="s">
        <v>1111</v>
      </c>
      <c r="E634" s="55" t="s">
        <v>408</v>
      </c>
      <c r="F634" s="56" t="str">
        <f t="shared" si="9"/>
        <v>061510312042025</v>
      </c>
      <c r="G634" s="54" t="s">
        <v>1128</v>
      </c>
      <c r="H634" s="54"/>
      <c r="I634" s="57"/>
    </row>
    <row r="635" spans="1:9" ht="25.5" x14ac:dyDescent="0.2">
      <c r="A635" s="53" t="s">
        <v>157</v>
      </c>
      <c r="B635" s="54" t="s">
        <v>158</v>
      </c>
      <c r="C635" s="54" t="s">
        <v>1245</v>
      </c>
      <c r="D635" s="54" t="s">
        <v>1113</v>
      </c>
      <c r="E635" s="55" t="s">
        <v>412</v>
      </c>
      <c r="F635" s="56" t="str">
        <f t="shared" si="9"/>
        <v>061510312052025</v>
      </c>
      <c r="G635" s="54" t="s">
        <v>1129</v>
      </c>
      <c r="H635" s="54"/>
      <c r="I635" s="57"/>
    </row>
    <row r="636" spans="1:9" ht="25.5" x14ac:dyDescent="0.2">
      <c r="A636" s="53" t="s">
        <v>157</v>
      </c>
      <c r="B636" s="54" t="s">
        <v>158</v>
      </c>
      <c r="C636" s="54" t="s">
        <v>1245</v>
      </c>
      <c r="D636" s="54" t="s">
        <v>1115</v>
      </c>
      <c r="E636" s="55" t="s">
        <v>416</v>
      </c>
      <c r="F636" s="56" t="str">
        <f t="shared" si="9"/>
        <v>061510312062025</v>
      </c>
      <c r="G636" s="54" t="s">
        <v>1058</v>
      </c>
      <c r="H636" s="54"/>
      <c r="I636" s="57"/>
    </row>
    <row r="637" spans="1:9" ht="25.5" x14ac:dyDescent="0.2">
      <c r="A637" s="53" t="s">
        <v>157</v>
      </c>
      <c r="B637" s="54" t="s">
        <v>158</v>
      </c>
      <c r="C637" s="54" t="s">
        <v>1245</v>
      </c>
      <c r="D637" s="54" t="s">
        <v>1116</v>
      </c>
      <c r="E637" s="55" t="s">
        <v>420</v>
      </c>
      <c r="F637" s="56" t="str">
        <f t="shared" si="9"/>
        <v>061510312072025</v>
      </c>
      <c r="G637" s="54" t="s">
        <v>1002</v>
      </c>
      <c r="H637" s="54"/>
      <c r="I637" s="57"/>
    </row>
    <row r="638" spans="1:9" x14ac:dyDescent="0.2">
      <c r="A638" s="53" t="s">
        <v>157</v>
      </c>
      <c r="B638" s="54" t="s">
        <v>158</v>
      </c>
      <c r="C638" s="54" t="s">
        <v>1245</v>
      </c>
      <c r="D638" s="54" t="s">
        <v>1117</v>
      </c>
      <c r="E638" s="55" t="s">
        <v>424</v>
      </c>
      <c r="F638" s="56" t="str">
        <f t="shared" si="9"/>
        <v>061510312082025</v>
      </c>
      <c r="G638" s="54" t="s">
        <v>1118</v>
      </c>
      <c r="H638" s="54"/>
      <c r="I638" s="57"/>
    </row>
    <row r="639" spans="1:9" ht="25.5" x14ac:dyDescent="0.2">
      <c r="A639" s="53" t="s">
        <v>157</v>
      </c>
      <c r="B639" s="54" t="s">
        <v>158</v>
      </c>
      <c r="C639" s="54" t="s">
        <v>1245</v>
      </c>
      <c r="D639" s="54" t="s">
        <v>1119</v>
      </c>
      <c r="E639" s="55" t="s">
        <v>428</v>
      </c>
      <c r="F639" s="56" t="str">
        <f t="shared" si="9"/>
        <v>061510312092025</v>
      </c>
      <c r="G639" s="54" t="s">
        <v>1066</v>
      </c>
      <c r="H639" s="54"/>
      <c r="I639" s="57"/>
    </row>
    <row r="640" spans="1:9" ht="25.5" x14ac:dyDescent="0.2">
      <c r="A640" s="53" t="s">
        <v>157</v>
      </c>
      <c r="B640" s="54" t="s">
        <v>158</v>
      </c>
      <c r="C640" s="54" t="s">
        <v>1245</v>
      </c>
      <c r="D640" s="54" t="s">
        <v>1120</v>
      </c>
      <c r="E640" s="55" t="s">
        <v>432</v>
      </c>
      <c r="F640" s="56" t="str">
        <f t="shared" si="9"/>
        <v>061510312102025</v>
      </c>
      <c r="G640" s="54" t="s">
        <v>1131</v>
      </c>
      <c r="H640" s="54"/>
      <c r="I640" s="57"/>
    </row>
    <row r="641" spans="1:9" x14ac:dyDescent="0.2">
      <c r="A641" s="53" t="s">
        <v>157</v>
      </c>
      <c r="B641" s="54" t="s">
        <v>158</v>
      </c>
      <c r="C641" s="54" t="s">
        <v>1245</v>
      </c>
      <c r="D641" s="54" t="s">
        <v>1122</v>
      </c>
      <c r="E641" s="55" t="s">
        <v>436</v>
      </c>
      <c r="F641" s="56" t="str">
        <f t="shared" si="9"/>
        <v>061510312112025</v>
      </c>
      <c r="G641" s="54" t="s">
        <v>1123</v>
      </c>
      <c r="H641" s="54"/>
      <c r="I641" s="57"/>
    </row>
    <row r="642" spans="1:9" ht="25.5" x14ac:dyDescent="0.2">
      <c r="A642" s="53" t="s">
        <v>157</v>
      </c>
      <c r="B642" s="54" t="s">
        <v>158</v>
      </c>
      <c r="C642" s="54" t="s">
        <v>1245</v>
      </c>
      <c r="D642" s="54" t="s">
        <v>1124</v>
      </c>
      <c r="E642" s="55" t="s">
        <v>440</v>
      </c>
      <c r="F642" s="56" t="str">
        <f t="shared" si="9"/>
        <v>061510312122025</v>
      </c>
      <c r="G642" s="54" t="s">
        <v>1132</v>
      </c>
      <c r="H642" s="54"/>
      <c r="I642" s="57"/>
    </row>
    <row r="643" spans="1:9" ht="51" x14ac:dyDescent="0.2">
      <c r="A643" s="53" t="s">
        <v>1246</v>
      </c>
      <c r="B643" s="54" t="s">
        <v>1247</v>
      </c>
      <c r="C643" s="54" t="s">
        <v>1248</v>
      </c>
      <c r="D643" s="54" t="s">
        <v>1107</v>
      </c>
      <c r="E643" s="55" t="s">
        <v>396</v>
      </c>
      <c r="F643" s="56" t="str">
        <f t="shared" ref="F643:F706" si="10">CONCATENATE(A643,E643)</f>
        <v>061204112012025</v>
      </c>
      <c r="G643" s="54" t="s">
        <v>397</v>
      </c>
      <c r="H643" s="54"/>
      <c r="I643" s="57"/>
    </row>
    <row r="644" spans="1:9" ht="51" x14ac:dyDescent="0.2">
      <c r="A644" s="53" t="s">
        <v>1246</v>
      </c>
      <c r="B644" s="54" t="s">
        <v>1247</v>
      </c>
      <c r="C644" s="54" t="s">
        <v>1248</v>
      </c>
      <c r="D644" s="54" t="s">
        <v>1108</v>
      </c>
      <c r="E644" s="55" t="s">
        <v>400</v>
      </c>
      <c r="F644" s="56" t="str">
        <f t="shared" si="10"/>
        <v>061204112022025</v>
      </c>
      <c r="G644" s="54" t="s">
        <v>401</v>
      </c>
      <c r="H644" s="54"/>
      <c r="I644" s="57"/>
    </row>
    <row r="645" spans="1:9" ht="51" x14ac:dyDescent="0.2">
      <c r="A645" s="53" t="s">
        <v>1246</v>
      </c>
      <c r="B645" s="54" t="s">
        <v>1247</v>
      </c>
      <c r="C645" s="54" t="s">
        <v>1248</v>
      </c>
      <c r="D645" s="54" t="s">
        <v>1110</v>
      </c>
      <c r="E645" s="55" t="s">
        <v>404</v>
      </c>
      <c r="F645" s="56" t="str">
        <f t="shared" si="10"/>
        <v>061204112032025</v>
      </c>
      <c r="G645" s="54" t="s">
        <v>546</v>
      </c>
      <c r="H645" s="54"/>
      <c r="I645" s="57"/>
    </row>
    <row r="646" spans="1:9" ht="51" x14ac:dyDescent="0.2">
      <c r="A646" s="53" t="s">
        <v>1246</v>
      </c>
      <c r="B646" s="54" t="s">
        <v>1247</v>
      </c>
      <c r="C646" s="54" t="s">
        <v>1248</v>
      </c>
      <c r="D646" s="54" t="s">
        <v>1111</v>
      </c>
      <c r="E646" s="55" t="s">
        <v>408</v>
      </c>
      <c r="F646" s="56" t="str">
        <f t="shared" si="10"/>
        <v>061204112042025</v>
      </c>
      <c r="G646" s="54" t="s">
        <v>444</v>
      </c>
      <c r="H646" s="54"/>
      <c r="I646" s="57"/>
    </row>
    <row r="647" spans="1:9" ht="51" x14ac:dyDescent="0.2">
      <c r="A647" s="53" t="s">
        <v>1246</v>
      </c>
      <c r="B647" s="54" t="s">
        <v>1247</v>
      </c>
      <c r="C647" s="54" t="s">
        <v>1248</v>
      </c>
      <c r="D647" s="54" t="s">
        <v>1113</v>
      </c>
      <c r="E647" s="55" t="s">
        <v>412</v>
      </c>
      <c r="F647" s="56" t="str">
        <f t="shared" si="10"/>
        <v>061204112052025</v>
      </c>
      <c r="G647" s="54" t="s">
        <v>413</v>
      </c>
      <c r="H647" s="54"/>
      <c r="I647" s="57"/>
    </row>
    <row r="648" spans="1:9" ht="51" x14ac:dyDescent="0.2">
      <c r="A648" s="53" t="s">
        <v>1246</v>
      </c>
      <c r="B648" s="54" t="s">
        <v>1247</v>
      </c>
      <c r="C648" s="54" t="s">
        <v>1248</v>
      </c>
      <c r="D648" s="54" t="s">
        <v>1115</v>
      </c>
      <c r="E648" s="55" t="s">
        <v>416</v>
      </c>
      <c r="F648" s="56" t="str">
        <f t="shared" si="10"/>
        <v>061204112062025</v>
      </c>
      <c r="G648" s="54" t="s">
        <v>473</v>
      </c>
      <c r="H648" s="54"/>
      <c r="I648" s="57"/>
    </row>
    <row r="649" spans="1:9" ht="51" x14ac:dyDescent="0.2">
      <c r="A649" s="53" t="s">
        <v>1246</v>
      </c>
      <c r="B649" s="54" t="s">
        <v>1247</v>
      </c>
      <c r="C649" s="54" t="s">
        <v>1248</v>
      </c>
      <c r="D649" s="54" t="s">
        <v>1116</v>
      </c>
      <c r="E649" s="55" t="s">
        <v>420</v>
      </c>
      <c r="F649" s="56" t="str">
        <f t="shared" si="10"/>
        <v>061204112072025</v>
      </c>
      <c r="G649" s="54" t="s">
        <v>421</v>
      </c>
      <c r="H649" s="54"/>
      <c r="I649" s="57"/>
    </row>
    <row r="650" spans="1:9" ht="51" x14ac:dyDescent="0.2">
      <c r="A650" s="53" t="s">
        <v>1246</v>
      </c>
      <c r="B650" s="54" t="s">
        <v>1247</v>
      </c>
      <c r="C650" s="54" t="s">
        <v>1248</v>
      </c>
      <c r="D650" s="54" t="s">
        <v>1117</v>
      </c>
      <c r="E650" s="55" t="s">
        <v>424</v>
      </c>
      <c r="F650" s="56" t="str">
        <f t="shared" si="10"/>
        <v>061204112082025</v>
      </c>
      <c r="G650" s="54" t="s">
        <v>425</v>
      </c>
      <c r="H650" s="54"/>
      <c r="I650" s="57"/>
    </row>
    <row r="651" spans="1:9" ht="51" x14ac:dyDescent="0.2">
      <c r="A651" s="53" t="s">
        <v>1246</v>
      </c>
      <c r="B651" s="54" t="s">
        <v>1247</v>
      </c>
      <c r="C651" s="54" t="s">
        <v>1248</v>
      </c>
      <c r="D651" s="54" t="s">
        <v>1119</v>
      </c>
      <c r="E651" s="55" t="s">
        <v>428</v>
      </c>
      <c r="F651" s="56" t="str">
        <f t="shared" si="10"/>
        <v>061204112092025</v>
      </c>
      <c r="G651" s="54" t="s">
        <v>429</v>
      </c>
      <c r="H651" s="54"/>
      <c r="I651" s="57"/>
    </row>
    <row r="652" spans="1:9" ht="51" x14ac:dyDescent="0.2">
      <c r="A652" s="53" t="s">
        <v>1246</v>
      </c>
      <c r="B652" s="54" t="s">
        <v>1247</v>
      </c>
      <c r="C652" s="54" t="s">
        <v>1248</v>
      </c>
      <c r="D652" s="54" t="s">
        <v>1120</v>
      </c>
      <c r="E652" s="55" t="s">
        <v>432</v>
      </c>
      <c r="F652" s="56" t="str">
        <f t="shared" si="10"/>
        <v>061204112102025</v>
      </c>
      <c r="G652" s="54" t="s">
        <v>433</v>
      </c>
      <c r="H652" s="54"/>
      <c r="I652" s="57"/>
    </row>
    <row r="653" spans="1:9" ht="51" x14ac:dyDescent="0.2">
      <c r="A653" s="53" t="s">
        <v>1246</v>
      </c>
      <c r="B653" s="54" t="s">
        <v>1247</v>
      </c>
      <c r="C653" s="54" t="s">
        <v>1248</v>
      </c>
      <c r="D653" s="54" t="s">
        <v>1122</v>
      </c>
      <c r="E653" s="55" t="s">
        <v>436</v>
      </c>
      <c r="F653" s="56" t="str">
        <f t="shared" si="10"/>
        <v>061204112112025</v>
      </c>
      <c r="G653" s="54" t="s">
        <v>437</v>
      </c>
      <c r="H653" s="54"/>
      <c r="I653" s="57"/>
    </row>
    <row r="654" spans="1:9" ht="51" x14ac:dyDescent="0.2">
      <c r="A654" s="53" t="s">
        <v>1246</v>
      </c>
      <c r="B654" s="54" t="s">
        <v>1247</v>
      </c>
      <c r="C654" s="54" t="s">
        <v>1248</v>
      </c>
      <c r="D654" s="54" t="s">
        <v>1124</v>
      </c>
      <c r="E654" s="55" t="s">
        <v>440</v>
      </c>
      <c r="F654" s="56" t="str">
        <f t="shared" si="10"/>
        <v>061204112122025</v>
      </c>
      <c r="G654" s="54" t="s">
        <v>480</v>
      </c>
      <c r="H654" s="54"/>
      <c r="I654" s="57"/>
    </row>
    <row r="655" spans="1:9" ht="38.25" x14ac:dyDescent="0.2">
      <c r="A655" s="53" t="s">
        <v>1249</v>
      </c>
      <c r="B655" s="54" t="s">
        <v>1250</v>
      </c>
      <c r="C655" s="54" t="s">
        <v>1251</v>
      </c>
      <c r="D655" s="54" t="s">
        <v>1107</v>
      </c>
      <c r="E655" s="55" t="s">
        <v>396</v>
      </c>
      <c r="F655" s="56" t="str">
        <f t="shared" si="10"/>
        <v>061203912012025</v>
      </c>
      <c r="G655" s="54" t="s">
        <v>397</v>
      </c>
      <c r="H655" s="54"/>
      <c r="I655" s="57"/>
    </row>
    <row r="656" spans="1:9" ht="38.25" x14ac:dyDescent="0.2">
      <c r="A656" s="53" t="s">
        <v>1249</v>
      </c>
      <c r="B656" s="54" t="s">
        <v>1250</v>
      </c>
      <c r="C656" s="54" t="s">
        <v>1251</v>
      </c>
      <c r="D656" s="54" t="s">
        <v>1108</v>
      </c>
      <c r="E656" s="55" t="s">
        <v>400</v>
      </c>
      <c r="F656" s="56" t="str">
        <f t="shared" si="10"/>
        <v>061203912022025</v>
      </c>
      <c r="G656" s="54" t="s">
        <v>401</v>
      </c>
      <c r="H656" s="54"/>
      <c r="I656" s="57"/>
    </row>
    <row r="657" spans="1:9" ht="38.25" x14ac:dyDescent="0.2">
      <c r="A657" s="53" t="s">
        <v>1249</v>
      </c>
      <c r="B657" s="54" t="s">
        <v>1250</v>
      </c>
      <c r="C657" s="54" t="s">
        <v>1251</v>
      </c>
      <c r="D657" s="54" t="s">
        <v>1110</v>
      </c>
      <c r="E657" s="55" t="s">
        <v>404</v>
      </c>
      <c r="F657" s="56" t="str">
        <f t="shared" si="10"/>
        <v>061203912032025</v>
      </c>
      <c r="G657" s="54" t="s">
        <v>546</v>
      </c>
      <c r="H657" s="54"/>
      <c r="I657" s="57"/>
    </row>
    <row r="658" spans="1:9" ht="38.25" x14ac:dyDescent="0.2">
      <c r="A658" s="53" t="s">
        <v>1249</v>
      </c>
      <c r="B658" s="54" t="s">
        <v>1250</v>
      </c>
      <c r="C658" s="54" t="s">
        <v>1251</v>
      </c>
      <c r="D658" s="54" t="s">
        <v>1111</v>
      </c>
      <c r="E658" s="55" t="s">
        <v>408</v>
      </c>
      <c r="F658" s="56" t="str">
        <f t="shared" si="10"/>
        <v>061203912042025</v>
      </c>
      <c r="G658" s="54" t="s">
        <v>444</v>
      </c>
      <c r="H658" s="54"/>
      <c r="I658" s="57"/>
    </row>
    <row r="659" spans="1:9" ht="38.25" x14ac:dyDescent="0.2">
      <c r="A659" s="53" t="s">
        <v>1249</v>
      </c>
      <c r="B659" s="54" t="s">
        <v>1250</v>
      </c>
      <c r="C659" s="54" t="s">
        <v>1251</v>
      </c>
      <c r="D659" s="54" t="s">
        <v>1113</v>
      </c>
      <c r="E659" s="55" t="s">
        <v>412</v>
      </c>
      <c r="F659" s="56" t="str">
        <f t="shared" si="10"/>
        <v>061203912052025</v>
      </c>
      <c r="G659" s="54" t="s">
        <v>413</v>
      </c>
      <c r="H659" s="54"/>
      <c r="I659" s="57"/>
    </row>
    <row r="660" spans="1:9" ht="38.25" x14ac:dyDescent="0.2">
      <c r="A660" s="53" t="s">
        <v>1249</v>
      </c>
      <c r="B660" s="54" t="s">
        <v>1250</v>
      </c>
      <c r="C660" s="54" t="s">
        <v>1251</v>
      </c>
      <c r="D660" s="54" t="s">
        <v>1115</v>
      </c>
      <c r="E660" s="55" t="s">
        <v>416</v>
      </c>
      <c r="F660" s="56" t="str">
        <f t="shared" si="10"/>
        <v>061203912062025</v>
      </c>
      <c r="G660" s="54" t="s">
        <v>473</v>
      </c>
      <c r="H660" s="54"/>
      <c r="I660" s="57"/>
    </row>
    <row r="661" spans="1:9" ht="38.25" x14ac:dyDescent="0.2">
      <c r="A661" s="53" t="s">
        <v>1249</v>
      </c>
      <c r="B661" s="54" t="s">
        <v>1250</v>
      </c>
      <c r="C661" s="54" t="s">
        <v>1251</v>
      </c>
      <c r="D661" s="54" t="s">
        <v>1116</v>
      </c>
      <c r="E661" s="55" t="s">
        <v>420</v>
      </c>
      <c r="F661" s="56" t="str">
        <f t="shared" si="10"/>
        <v>061203912072025</v>
      </c>
      <c r="G661" s="54" t="s">
        <v>421</v>
      </c>
      <c r="H661" s="54"/>
      <c r="I661" s="57"/>
    </row>
    <row r="662" spans="1:9" ht="38.25" x14ac:dyDescent="0.2">
      <c r="A662" s="53" t="s">
        <v>1249</v>
      </c>
      <c r="B662" s="54" t="s">
        <v>1250</v>
      </c>
      <c r="C662" s="54" t="s">
        <v>1251</v>
      </c>
      <c r="D662" s="54" t="s">
        <v>1117</v>
      </c>
      <c r="E662" s="55" t="s">
        <v>424</v>
      </c>
      <c r="F662" s="56" t="str">
        <f t="shared" si="10"/>
        <v>061203912082025</v>
      </c>
      <c r="G662" s="54" t="s">
        <v>425</v>
      </c>
      <c r="H662" s="54"/>
      <c r="I662" s="57"/>
    </row>
    <row r="663" spans="1:9" ht="38.25" x14ac:dyDescent="0.2">
      <c r="A663" s="53" t="s">
        <v>1249</v>
      </c>
      <c r="B663" s="54" t="s">
        <v>1250</v>
      </c>
      <c r="C663" s="54" t="s">
        <v>1251</v>
      </c>
      <c r="D663" s="54" t="s">
        <v>1119</v>
      </c>
      <c r="E663" s="55" t="s">
        <v>428</v>
      </c>
      <c r="F663" s="56" t="str">
        <f t="shared" si="10"/>
        <v>061203912092025</v>
      </c>
      <c r="G663" s="54" t="s">
        <v>429</v>
      </c>
      <c r="H663" s="54"/>
      <c r="I663" s="57"/>
    </row>
    <row r="664" spans="1:9" ht="38.25" x14ac:dyDescent="0.2">
      <c r="A664" s="53" t="s">
        <v>1249</v>
      </c>
      <c r="B664" s="54" t="s">
        <v>1250</v>
      </c>
      <c r="C664" s="54" t="s">
        <v>1251</v>
      </c>
      <c r="D664" s="54" t="s">
        <v>1120</v>
      </c>
      <c r="E664" s="55" t="s">
        <v>432</v>
      </c>
      <c r="F664" s="56" t="str">
        <f t="shared" si="10"/>
        <v>061203912102025</v>
      </c>
      <c r="G664" s="54" t="s">
        <v>433</v>
      </c>
      <c r="H664" s="54"/>
      <c r="I664" s="57"/>
    </row>
    <row r="665" spans="1:9" ht="38.25" x14ac:dyDescent="0.2">
      <c r="A665" s="53" t="s">
        <v>1249</v>
      </c>
      <c r="B665" s="54" t="s">
        <v>1250</v>
      </c>
      <c r="C665" s="54" t="s">
        <v>1251</v>
      </c>
      <c r="D665" s="54" t="s">
        <v>1122</v>
      </c>
      <c r="E665" s="55" t="s">
        <v>436</v>
      </c>
      <c r="F665" s="56" t="str">
        <f t="shared" si="10"/>
        <v>061203912112025</v>
      </c>
      <c r="G665" s="54" t="s">
        <v>437</v>
      </c>
      <c r="H665" s="54"/>
      <c r="I665" s="57"/>
    </row>
    <row r="666" spans="1:9" ht="38.25" x14ac:dyDescent="0.2">
      <c r="A666" s="53" t="s">
        <v>1249</v>
      </c>
      <c r="B666" s="54" t="s">
        <v>1250</v>
      </c>
      <c r="C666" s="54" t="s">
        <v>1251</v>
      </c>
      <c r="D666" s="54" t="s">
        <v>1124</v>
      </c>
      <c r="E666" s="55" t="s">
        <v>440</v>
      </c>
      <c r="F666" s="56" t="str">
        <f t="shared" si="10"/>
        <v>061203912122025</v>
      </c>
      <c r="G666" s="54" t="s">
        <v>480</v>
      </c>
      <c r="H666" s="54"/>
      <c r="I666" s="57"/>
    </row>
    <row r="667" spans="1:9" ht="25.5" x14ac:dyDescent="0.2">
      <c r="A667" s="53" t="s">
        <v>124</v>
      </c>
      <c r="B667" s="54" t="s">
        <v>125</v>
      </c>
      <c r="C667" s="54" t="s">
        <v>1252</v>
      </c>
      <c r="D667" s="54" t="s">
        <v>1107</v>
      </c>
      <c r="E667" s="55" t="s">
        <v>396</v>
      </c>
      <c r="F667" s="56" t="str">
        <f t="shared" si="10"/>
        <v>061512612012025</v>
      </c>
      <c r="G667" s="54" t="s">
        <v>1017</v>
      </c>
      <c r="H667" s="54"/>
      <c r="I667" s="57"/>
    </row>
    <row r="668" spans="1:9" ht="25.5" x14ac:dyDescent="0.2">
      <c r="A668" s="53" t="s">
        <v>124</v>
      </c>
      <c r="B668" s="54" t="s">
        <v>125</v>
      </c>
      <c r="C668" s="54" t="s">
        <v>1252</v>
      </c>
      <c r="D668" s="54" t="s">
        <v>1108</v>
      </c>
      <c r="E668" s="55" t="s">
        <v>400</v>
      </c>
      <c r="F668" s="56" t="str">
        <f t="shared" si="10"/>
        <v>061512612022025</v>
      </c>
      <c r="G668" s="54" t="s">
        <v>1082</v>
      </c>
      <c r="H668" s="54"/>
      <c r="I668" s="57"/>
    </row>
    <row r="669" spans="1:9" ht="25.5" x14ac:dyDescent="0.2">
      <c r="A669" s="53" t="s">
        <v>124</v>
      </c>
      <c r="B669" s="54" t="s">
        <v>125</v>
      </c>
      <c r="C669" s="54" t="s">
        <v>1252</v>
      </c>
      <c r="D669" s="54" t="s">
        <v>1110</v>
      </c>
      <c r="E669" s="55" t="s">
        <v>404</v>
      </c>
      <c r="F669" s="56" t="str">
        <f t="shared" si="10"/>
        <v>061512612032025</v>
      </c>
      <c r="G669" s="54" t="s">
        <v>990</v>
      </c>
      <c r="H669" s="54"/>
      <c r="I669" s="57"/>
    </row>
    <row r="670" spans="1:9" ht="25.5" x14ac:dyDescent="0.2">
      <c r="A670" s="53" t="s">
        <v>124</v>
      </c>
      <c r="B670" s="54" t="s">
        <v>125</v>
      </c>
      <c r="C670" s="54" t="s">
        <v>1252</v>
      </c>
      <c r="D670" s="54" t="s">
        <v>1111</v>
      </c>
      <c r="E670" s="55" t="s">
        <v>408</v>
      </c>
      <c r="F670" s="56" t="str">
        <f t="shared" si="10"/>
        <v>061512612042025</v>
      </c>
      <c r="G670" s="54" t="s">
        <v>1001</v>
      </c>
      <c r="H670" s="54"/>
      <c r="I670" s="57"/>
    </row>
    <row r="671" spans="1:9" ht="25.5" x14ac:dyDescent="0.2">
      <c r="A671" s="53" t="s">
        <v>124</v>
      </c>
      <c r="B671" s="54" t="s">
        <v>125</v>
      </c>
      <c r="C671" s="54" t="s">
        <v>1252</v>
      </c>
      <c r="D671" s="54" t="s">
        <v>1113</v>
      </c>
      <c r="E671" s="55" t="s">
        <v>412</v>
      </c>
      <c r="F671" s="56" t="str">
        <f t="shared" si="10"/>
        <v>061512612052025</v>
      </c>
      <c r="G671" s="54" t="s">
        <v>1179</v>
      </c>
      <c r="H671" s="54"/>
      <c r="I671" s="57"/>
    </row>
    <row r="672" spans="1:9" ht="25.5" x14ac:dyDescent="0.2">
      <c r="A672" s="53" t="s">
        <v>124</v>
      </c>
      <c r="B672" s="54" t="s">
        <v>125</v>
      </c>
      <c r="C672" s="54" t="s">
        <v>1252</v>
      </c>
      <c r="D672" s="54" t="s">
        <v>1115</v>
      </c>
      <c r="E672" s="55" t="s">
        <v>416</v>
      </c>
      <c r="F672" s="56" t="str">
        <f t="shared" si="10"/>
        <v>061512612062025</v>
      </c>
      <c r="G672" s="54" t="s">
        <v>992</v>
      </c>
      <c r="H672" s="54"/>
      <c r="I672" s="57"/>
    </row>
    <row r="673" spans="1:9" ht="25.5" x14ac:dyDescent="0.2">
      <c r="A673" s="53" t="s">
        <v>124</v>
      </c>
      <c r="B673" s="54" t="s">
        <v>125</v>
      </c>
      <c r="C673" s="54" t="s">
        <v>1252</v>
      </c>
      <c r="D673" s="54" t="s">
        <v>1116</v>
      </c>
      <c r="E673" s="55" t="s">
        <v>420</v>
      </c>
      <c r="F673" s="56" t="str">
        <f t="shared" si="10"/>
        <v>061512612072025</v>
      </c>
      <c r="G673" s="54" t="s">
        <v>1013</v>
      </c>
      <c r="H673" s="54"/>
      <c r="I673" s="57"/>
    </row>
    <row r="674" spans="1:9" ht="25.5" x14ac:dyDescent="0.2">
      <c r="A674" s="53" t="s">
        <v>124</v>
      </c>
      <c r="B674" s="54" t="s">
        <v>125</v>
      </c>
      <c r="C674" s="54" t="s">
        <v>1252</v>
      </c>
      <c r="D674" s="54" t="s">
        <v>1117</v>
      </c>
      <c r="E674" s="55" t="s">
        <v>424</v>
      </c>
      <c r="F674" s="56" t="str">
        <f t="shared" si="10"/>
        <v>061512612082025</v>
      </c>
      <c r="G674" s="54" t="s">
        <v>1118</v>
      </c>
      <c r="H674" s="54"/>
      <c r="I674" s="57"/>
    </row>
    <row r="675" spans="1:9" ht="25.5" x14ac:dyDescent="0.2">
      <c r="A675" s="53" t="s">
        <v>124</v>
      </c>
      <c r="B675" s="54" t="s">
        <v>125</v>
      </c>
      <c r="C675" s="54" t="s">
        <v>1252</v>
      </c>
      <c r="D675" s="54" t="s">
        <v>1119</v>
      </c>
      <c r="E675" s="55" t="s">
        <v>428</v>
      </c>
      <c r="F675" s="56" t="str">
        <f t="shared" si="10"/>
        <v>061512612092025</v>
      </c>
      <c r="G675" s="54" t="s">
        <v>1040</v>
      </c>
      <c r="H675" s="54"/>
      <c r="I675" s="57"/>
    </row>
    <row r="676" spans="1:9" ht="25.5" x14ac:dyDescent="0.2">
      <c r="A676" s="53" t="s">
        <v>124</v>
      </c>
      <c r="B676" s="54" t="s">
        <v>125</v>
      </c>
      <c r="C676" s="54" t="s">
        <v>1252</v>
      </c>
      <c r="D676" s="54" t="s">
        <v>1120</v>
      </c>
      <c r="E676" s="55" t="s">
        <v>432</v>
      </c>
      <c r="F676" s="56" t="str">
        <f t="shared" si="10"/>
        <v>061512612102025</v>
      </c>
      <c r="G676" s="54" t="s">
        <v>1014</v>
      </c>
      <c r="H676" s="54"/>
      <c r="I676" s="57"/>
    </row>
    <row r="677" spans="1:9" ht="25.5" x14ac:dyDescent="0.2">
      <c r="A677" s="53" t="s">
        <v>124</v>
      </c>
      <c r="B677" s="54" t="s">
        <v>125</v>
      </c>
      <c r="C677" s="54" t="s">
        <v>1252</v>
      </c>
      <c r="D677" s="54" t="s">
        <v>1122</v>
      </c>
      <c r="E677" s="55" t="s">
        <v>436</v>
      </c>
      <c r="F677" s="56" t="str">
        <f t="shared" si="10"/>
        <v>061512612112025</v>
      </c>
      <c r="G677" s="54" t="s">
        <v>1123</v>
      </c>
      <c r="H677" s="54"/>
      <c r="I677" s="57"/>
    </row>
    <row r="678" spans="1:9" ht="25.5" x14ac:dyDescent="0.2">
      <c r="A678" s="53" t="s">
        <v>124</v>
      </c>
      <c r="B678" s="54" t="s">
        <v>125</v>
      </c>
      <c r="C678" s="54" t="s">
        <v>1252</v>
      </c>
      <c r="D678" s="54" t="s">
        <v>1124</v>
      </c>
      <c r="E678" s="55" t="s">
        <v>440</v>
      </c>
      <c r="F678" s="56" t="str">
        <f t="shared" si="10"/>
        <v>061512612122025</v>
      </c>
      <c r="G678" s="54" t="s">
        <v>1027</v>
      </c>
      <c r="H678" s="54"/>
      <c r="I678" s="57"/>
    </row>
    <row r="679" spans="1:9" ht="38.25" x14ac:dyDescent="0.2">
      <c r="A679" s="53" t="s">
        <v>1253</v>
      </c>
      <c r="B679" s="54" t="s">
        <v>1254</v>
      </c>
      <c r="C679" s="54" t="s">
        <v>1255</v>
      </c>
      <c r="D679" s="54" t="s">
        <v>1107</v>
      </c>
      <c r="E679" s="55" t="s">
        <v>396</v>
      </c>
      <c r="F679" s="56" t="str">
        <f t="shared" si="10"/>
        <v>060403712012025</v>
      </c>
      <c r="G679" s="54" t="s">
        <v>397</v>
      </c>
      <c r="H679" s="54"/>
      <c r="I679" s="57"/>
    </row>
    <row r="680" spans="1:9" ht="38.25" x14ac:dyDescent="0.2">
      <c r="A680" s="53" t="s">
        <v>1253</v>
      </c>
      <c r="B680" s="54" t="s">
        <v>1254</v>
      </c>
      <c r="C680" s="54" t="s">
        <v>1255</v>
      </c>
      <c r="D680" s="54" t="s">
        <v>1108</v>
      </c>
      <c r="E680" s="55" t="s">
        <v>400</v>
      </c>
      <c r="F680" s="56" t="str">
        <f t="shared" si="10"/>
        <v>060403712022025</v>
      </c>
      <c r="G680" s="54" t="s">
        <v>401</v>
      </c>
      <c r="H680" s="54"/>
      <c r="I680" s="57"/>
    </row>
    <row r="681" spans="1:9" ht="38.25" x14ac:dyDescent="0.2">
      <c r="A681" s="53" t="s">
        <v>1253</v>
      </c>
      <c r="B681" s="54" t="s">
        <v>1254</v>
      </c>
      <c r="C681" s="54" t="s">
        <v>1255</v>
      </c>
      <c r="D681" s="54" t="s">
        <v>1110</v>
      </c>
      <c r="E681" s="55" t="s">
        <v>404</v>
      </c>
      <c r="F681" s="56" t="str">
        <f t="shared" si="10"/>
        <v>060403712032025</v>
      </c>
      <c r="G681" s="54" t="s">
        <v>405</v>
      </c>
      <c r="H681" s="54"/>
      <c r="I681" s="57"/>
    </row>
    <row r="682" spans="1:9" ht="38.25" x14ac:dyDescent="0.2">
      <c r="A682" s="53" t="s">
        <v>1253</v>
      </c>
      <c r="B682" s="54" t="s">
        <v>1254</v>
      </c>
      <c r="C682" s="54" t="s">
        <v>1255</v>
      </c>
      <c r="D682" s="54" t="s">
        <v>1111</v>
      </c>
      <c r="E682" s="55" t="s">
        <v>408</v>
      </c>
      <c r="F682" s="56" t="str">
        <f t="shared" si="10"/>
        <v>060403712042025</v>
      </c>
      <c r="G682" s="54" t="s">
        <v>409</v>
      </c>
      <c r="H682" s="54"/>
      <c r="I682" s="57"/>
    </row>
    <row r="683" spans="1:9" ht="38.25" x14ac:dyDescent="0.2">
      <c r="A683" s="53" t="s">
        <v>1253</v>
      </c>
      <c r="B683" s="54" t="s">
        <v>1254</v>
      </c>
      <c r="C683" s="54" t="s">
        <v>1255</v>
      </c>
      <c r="D683" s="54" t="s">
        <v>1113</v>
      </c>
      <c r="E683" s="55" t="s">
        <v>412</v>
      </c>
      <c r="F683" s="56" t="str">
        <f t="shared" si="10"/>
        <v>060403712052025</v>
      </c>
      <c r="G683" s="54" t="s">
        <v>413</v>
      </c>
      <c r="H683" s="54"/>
      <c r="I683" s="57"/>
    </row>
    <row r="684" spans="1:9" ht="38.25" x14ac:dyDescent="0.2">
      <c r="A684" s="53" t="s">
        <v>1253</v>
      </c>
      <c r="B684" s="54" t="s">
        <v>1254</v>
      </c>
      <c r="C684" s="54" t="s">
        <v>1255</v>
      </c>
      <c r="D684" s="54" t="s">
        <v>1115</v>
      </c>
      <c r="E684" s="55" t="s">
        <v>416</v>
      </c>
      <c r="F684" s="56" t="str">
        <f t="shared" si="10"/>
        <v>060403712062025</v>
      </c>
      <c r="G684" s="54" t="s">
        <v>417</v>
      </c>
      <c r="H684" s="54"/>
      <c r="I684" s="57"/>
    </row>
    <row r="685" spans="1:9" ht="38.25" x14ac:dyDescent="0.2">
      <c r="A685" s="53" t="s">
        <v>1253</v>
      </c>
      <c r="B685" s="54" t="s">
        <v>1254</v>
      </c>
      <c r="C685" s="54" t="s">
        <v>1255</v>
      </c>
      <c r="D685" s="54" t="s">
        <v>1116</v>
      </c>
      <c r="E685" s="55" t="s">
        <v>420</v>
      </c>
      <c r="F685" s="56" t="str">
        <f t="shared" si="10"/>
        <v>060403712072025</v>
      </c>
      <c r="G685" s="54" t="s">
        <v>421</v>
      </c>
      <c r="H685" s="54"/>
      <c r="I685" s="57"/>
    </row>
    <row r="686" spans="1:9" ht="38.25" x14ac:dyDescent="0.2">
      <c r="A686" s="53" t="s">
        <v>1253</v>
      </c>
      <c r="B686" s="54" t="s">
        <v>1254</v>
      </c>
      <c r="C686" s="54" t="s">
        <v>1255</v>
      </c>
      <c r="D686" s="54" t="s">
        <v>1117</v>
      </c>
      <c r="E686" s="55" t="s">
        <v>424</v>
      </c>
      <c r="F686" s="56" t="str">
        <f t="shared" si="10"/>
        <v>060403712082025</v>
      </c>
      <c r="G686" s="54" t="s">
        <v>425</v>
      </c>
      <c r="H686" s="54"/>
      <c r="I686" s="57"/>
    </row>
    <row r="687" spans="1:9" ht="38.25" x14ac:dyDescent="0.2">
      <c r="A687" s="53" t="s">
        <v>1253</v>
      </c>
      <c r="B687" s="54" t="s">
        <v>1254</v>
      </c>
      <c r="C687" s="54" t="s">
        <v>1255</v>
      </c>
      <c r="D687" s="54" t="s">
        <v>1119</v>
      </c>
      <c r="E687" s="55" t="s">
        <v>428</v>
      </c>
      <c r="F687" s="56" t="str">
        <f t="shared" si="10"/>
        <v>060403712092025</v>
      </c>
      <c r="G687" s="54" t="s">
        <v>429</v>
      </c>
      <c r="H687" s="54"/>
      <c r="I687" s="57"/>
    </row>
    <row r="688" spans="1:9" ht="38.25" x14ac:dyDescent="0.2">
      <c r="A688" s="53" t="s">
        <v>1253</v>
      </c>
      <c r="B688" s="54" t="s">
        <v>1254</v>
      </c>
      <c r="C688" s="54" t="s">
        <v>1255</v>
      </c>
      <c r="D688" s="54" t="s">
        <v>1120</v>
      </c>
      <c r="E688" s="55" t="s">
        <v>432</v>
      </c>
      <c r="F688" s="56" t="str">
        <f t="shared" si="10"/>
        <v>060403712102025</v>
      </c>
      <c r="G688" s="54" t="s">
        <v>433</v>
      </c>
      <c r="H688" s="54"/>
      <c r="I688" s="57"/>
    </row>
    <row r="689" spans="1:9" ht="38.25" x14ac:dyDescent="0.2">
      <c r="A689" s="53" t="s">
        <v>1253</v>
      </c>
      <c r="B689" s="54" t="s">
        <v>1254</v>
      </c>
      <c r="C689" s="54" t="s">
        <v>1255</v>
      </c>
      <c r="D689" s="54" t="s">
        <v>1122</v>
      </c>
      <c r="E689" s="55" t="s">
        <v>436</v>
      </c>
      <c r="F689" s="56" t="str">
        <f t="shared" si="10"/>
        <v>060403712112025</v>
      </c>
      <c r="G689" s="54" t="s">
        <v>437</v>
      </c>
      <c r="H689" s="54"/>
      <c r="I689" s="57"/>
    </row>
    <row r="690" spans="1:9" ht="38.25" x14ac:dyDescent="0.2">
      <c r="A690" s="53" t="s">
        <v>1253</v>
      </c>
      <c r="B690" s="54" t="s">
        <v>1254</v>
      </c>
      <c r="C690" s="54" t="s">
        <v>1255</v>
      </c>
      <c r="D690" s="54" t="s">
        <v>1124</v>
      </c>
      <c r="E690" s="55" t="s">
        <v>440</v>
      </c>
      <c r="F690" s="56" t="str">
        <f t="shared" si="10"/>
        <v>060403712122025</v>
      </c>
      <c r="G690" s="54" t="s">
        <v>458</v>
      </c>
      <c r="H690" s="54"/>
      <c r="I690" s="57"/>
    </row>
    <row r="691" spans="1:9" x14ac:dyDescent="0.2">
      <c r="A691" s="53" t="s">
        <v>1256</v>
      </c>
      <c r="B691" s="54" t="s">
        <v>1257</v>
      </c>
      <c r="C691" s="54" t="s">
        <v>1258</v>
      </c>
      <c r="D691" s="54" t="s">
        <v>1259</v>
      </c>
      <c r="E691" s="55" t="s">
        <v>1260</v>
      </c>
      <c r="F691" s="56" t="str">
        <f t="shared" si="10"/>
        <v>061006753012025</v>
      </c>
      <c r="G691" s="54" t="s">
        <v>1261</v>
      </c>
      <c r="H691" s="54"/>
      <c r="I691" s="57"/>
    </row>
    <row r="692" spans="1:9" x14ac:dyDescent="0.2">
      <c r="A692" s="53" t="s">
        <v>1256</v>
      </c>
      <c r="B692" s="54" t="s">
        <v>1257</v>
      </c>
      <c r="C692" s="54" t="s">
        <v>1258</v>
      </c>
      <c r="D692" s="54" t="s">
        <v>1262</v>
      </c>
      <c r="E692" s="55" t="s">
        <v>1263</v>
      </c>
      <c r="F692" s="56" t="str">
        <f t="shared" si="10"/>
        <v>061006753022025</v>
      </c>
      <c r="G692" s="54" t="s">
        <v>1261</v>
      </c>
      <c r="H692" s="54"/>
      <c r="I692" s="57"/>
    </row>
    <row r="693" spans="1:9" x14ac:dyDescent="0.2">
      <c r="A693" s="53" t="s">
        <v>1256</v>
      </c>
      <c r="B693" s="54" t="s">
        <v>1257</v>
      </c>
      <c r="C693" s="54" t="s">
        <v>1258</v>
      </c>
      <c r="D693" s="54" t="s">
        <v>1264</v>
      </c>
      <c r="E693" s="55" t="s">
        <v>1265</v>
      </c>
      <c r="F693" s="56" t="str">
        <f t="shared" si="10"/>
        <v>061006753032025</v>
      </c>
      <c r="G693" s="54" t="s">
        <v>1261</v>
      </c>
      <c r="H693" s="54"/>
      <c r="I693" s="57"/>
    </row>
    <row r="694" spans="1:9" x14ac:dyDescent="0.2">
      <c r="A694" s="53" t="s">
        <v>1256</v>
      </c>
      <c r="B694" s="54" t="s">
        <v>1257</v>
      </c>
      <c r="C694" s="54" t="s">
        <v>1258</v>
      </c>
      <c r="D694" s="54" t="s">
        <v>1266</v>
      </c>
      <c r="E694" s="55" t="s">
        <v>1267</v>
      </c>
      <c r="F694" s="56" t="str">
        <f t="shared" si="10"/>
        <v>061006753042025</v>
      </c>
      <c r="G694" s="54" t="s">
        <v>1261</v>
      </c>
      <c r="H694" s="54"/>
      <c r="I694" s="57"/>
    </row>
    <row r="695" spans="1:9" x14ac:dyDescent="0.2">
      <c r="A695" s="53" t="s">
        <v>1256</v>
      </c>
      <c r="B695" s="54" t="s">
        <v>1257</v>
      </c>
      <c r="C695" s="54" t="s">
        <v>1258</v>
      </c>
      <c r="D695" s="54" t="s">
        <v>1268</v>
      </c>
      <c r="E695" s="55" t="s">
        <v>1269</v>
      </c>
      <c r="F695" s="56" t="str">
        <f t="shared" si="10"/>
        <v>061006753052025</v>
      </c>
      <c r="G695" s="54" t="s">
        <v>1261</v>
      </c>
      <c r="H695" s="54"/>
      <c r="I695" s="57"/>
    </row>
    <row r="696" spans="1:9" x14ac:dyDescent="0.2">
      <c r="A696" s="53" t="s">
        <v>1256</v>
      </c>
      <c r="B696" s="54" t="s">
        <v>1257</v>
      </c>
      <c r="C696" s="54" t="s">
        <v>1258</v>
      </c>
      <c r="D696" s="54" t="s">
        <v>1270</v>
      </c>
      <c r="E696" s="55" t="s">
        <v>1271</v>
      </c>
      <c r="F696" s="56" t="str">
        <f t="shared" si="10"/>
        <v>061006753062025</v>
      </c>
      <c r="G696" s="54" t="s">
        <v>1261</v>
      </c>
      <c r="H696" s="54"/>
      <c r="I696" s="57"/>
    </row>
    <row r="697" spans="1:9" x14ac:dyDescent="0.2">
      <c r="A697" s="53" t="s">
        <v>1256</v>
      </c>
      <c r="B697" s="54" t="s">
        <v>1257</v>
      </c>
      <c r="C697" s="54" t="s">
        <v>1258</v>
      </c>
      <c r="D697" s="54" t="s">
        <v>1272</v>
      </c>
      <c r="E697" s="55" t="s">
        <v>1273</v>
      </c>
      <c r="F697" s="56" t="str">
        <f t="shared" si="10"/>
        <v>061006753072025</v>
      </c>
      <c r="G697" s="54" t="s">
        <v>1261</v>
      </c>
      <c r="H697" s="54"/>
      <c r="I697" s="57"/>
    </row>
    <row r="698" spans="1:9" x14ac:dyDescent="0.2">
      <c r="A698" s="53" t="s">
        <v>1256</v>
      </c>
      <c r="B698" s="54" t="s">
        <v>1257</v>
      </c>
      <c r="C698" s="54" t="s">
        <v>1258</v>
      </c>
      <c r="D698" s="54" t="s">
        <v>1274</v>
      </c>
      <c r="E698" s="55" t="s">
        <v>1275</v>
      </c>
      <c r="F698" s="56" t="str">
        <f t="shared" si="10"/>
        <v>061006753082025</v>
      </c>
      <c r="G698" s="54" t="s">
        <v>1261</v>
      </c>
      <c r="H698" s="54"/>
      <c r="I698" s="57"/>
    </row>
    <row r="699" spans="1:9" x14ac:dyDescent="0.2">
      <c r="A699" s="53" t="s">
        <v>1256</v>
      </c>
      <c r="B699" s="54" t="s">
        <v>1257</v>
      </c>
      <c r="C699" s="54" t="s">
        <v>1258</v>
      </c>
      <c r="D699" s="54" t="s">
        <v>1276</v>
      </c>
      <c r="E699" s="55" t="s">
        <v>1277</v>
      </c>
      <c r="F699" s="56" t="str">
        <f t="shared" si="10"/>
        <v>061006753092025</v>
      </c>
      <c r="G699" s="54" t="s">
        <v>1261</v>
      </c>
      <c r="H699" s="54"/>
      <c r="I699" s="57"/>
    </row>
    <row r="700" spans="1:9" x14ac:dyDescent="0.2">
      <c r="A700" s="53" t="s">
        <v>1256</v>
      </c>
      <c r="B700" s="54" t="s">
        <v>1257</v>
      </c>
      <c r="C700" s="54" t="s">
        <v>1258</v>
      </c>
      <c r="D700" s="54" t="s">
        <v>1278</v>
      </c>
      <c r="E700" s="55" t="s">
        <v>1279</v>
      </c>
      <c r="F700" s="56" t="str">
        <f t="shared" si="10"/>
        <v>061006753102025</v>
      </c>
      <c r="G700" s="54" t="s">
        <v>1261</v>
      </c>
      <c r="H700" s="54"/>
      <c r="I700" s="57"/>
    </row>
    <row r="701" spans="1:9" x14ac:dyDescent="0.2">
      <c r="A701" s="53" t="s">
        <v>1256</v>
      </c>
      <c r="B701" s="54" t="s">
        <v>1257</v>
      </c>
      <c r="C701" s="54" t="s">
        <v>1258</v>
      </c>
      <c r="D701" s="54" t="s">
        <v>1280</v>
      </c>
      <c r="E701" s="55" t="s">
        <v>1281</v>
      </c>
      <c r="F701" s="56" t="str">
        <f t="shared" si="10"/>
        <v>061006753112025</v>
      </c>
      <c r="G701" s="54" t="s">
        <v>1261</v>
      </c>
      <c r="H701" s="54"/>
      <c r="I701" s="57"/>
    </row>
    <row r="702" spans="1:9" x14ac:dyDescent="0.2">
      <c r="A702" s="53" t="s">
        <v>1256</v>
      </c>
      <c r="B702" s="54" t="s">
        <v>1257</v>
      </c>
      <c r="C702" s="54" t="s">
        <v>1258</v>
      </c>
      <c r="D702" s="54" t="s">
        <v>1282</v>
      </c>
      <c r="E702" s="55" t="s">
        <v>1283</v>
      </c>
      <c r="F702" s="56" t="str">
        <f t="shared" si="10"/>
        <v>061006753122025</v>
      </c>
      <c r="G702" s="54" t="s">
        <v>1261</v>
      </c>
      <c r="H702" s="54"/>
      <c r="I702" s="57"/>
    </row>
    <row r="703" spans="1:9" x14ac:dyDescent="0.2">
      <c r="A703" s="53" t="s">
        <v>1256</v>
      </c>
      <c r="B703" s="54" t="s">
        <v>1257</v>
      </c>
      <c r="C703" s="54" t="s">
        <v>1258</v>
      </c>
      <c r="D703" s="54" t="s">
        <v>1284</v>
      </c>
      <c r="E703" s="55" t="s">
        <v>1285</v>
      </c>
      <c r="F703" s="56" t="str">
        <f t="shared" si="10"/>
        <v>061006753132025</v>
      </c>
      <c r="G703" s="54" t="s">
        <v>1261</v>
      </c>
      <c r="H703" s="54"/>
      <c r="I703" s="57"/>
    </row>
    <row r="704" spans="1:9" x14ac:dyDescent="0.2">
      <c r="A704" s="53" t="s">
        <v>1256</v>
      </c>
      <c r="B704" s="54" t="s">
        <v>1257</v>
      </c>
      <c r="C704" s="54" t="s">
        <v>1258</v>
      </c>
      <c r="D704" s="54" t="s">
        <v>1286</v>
      </c>
      <c r="E704" s="55" t="s">
        <v>1287</v>
      </c>
      <c r="F704" s="56" t="str">
        <f t="shared" si="10"/>
        <v>061006753142025</v>
      </c>
      <c r="G704" s="54" t="s">
        <v>1261</v>
      </c>
      <c r="H704" s="54"/>
      <c r="I704" s="57"/>
    </row>
    <row r="705" spans="1:9" x14ac:dyDescent="0.2">
      <c r="A705" s="53" t="s">
        <v>1256</v>
      </c>
      <c r="B705" s="54" t="s">
        <v>1257</v>
      </c>
      <c r="C705" s="54" t="s">
        <v>1258</v>
      </c>
      <c r="D705" s="54" t="s">
        <v>1288</v>
      </c>
      <c r="E705" s="55" t="s">
        <v>1289</v>
      </c>
      <c r="F705" s="56" t="str">
        <f t="shared" si="10"/>
        <v>061006753152025</v>
      </c>
      <c r="G705" s="54" t="s">
        <v>1261</v>
      </c>
      <c r="H705" s="54"/>
      <c r="I705" s="57"/>
    </row>
    <row r="706" spans="1:9" x14ac:dyDescent="0.2">
      <c r="A706" s="53" t="s">
        <v>1256</v>
      </c>
      <c r="B706" s="54" t="s">
        <v>1257</v>
      </c>
      <c r="C706" s="54" t="s">
        <v>1258</v>
      </c>
      <c r="D706" s="54" t="s">
        <v>1290</v>
      </c>
      <c r="E706" s="55" t="s">
        <v>1291</v>
      </c>
      <c r="F706" s="56" t="str">
        <f t="shared" si="10"/>
        <v>061006753162025</v>
      </c>
      <c r="G706" s="54" t="s">
        <v>1261</v>
      </c>
      <c r="H706" s="54"/>
      <c r="I706" s="57"/>
    </row>
    <row r="707" spans="1:9" x14ac:dyDescent="0.2">
      <c r="A707" s="53" t="s">
        <v>1256</v>
      </c>
      <c r="B707" s="54" t="s">
        <v>1257</v>
      </c>
      <c r="C707" s="54" t="s">
        <v>1258</v>
      </c>
      <c r="D707" s="54" t="s">
        <v>1292</v>
      </c>
      <c r="E707" s="55" t="s">
        <v>1293</v>
      </c>
      <c r="F707" s="56" t="str">
        <f t="shared" ref="F707:F743" si="11">CONCATENATE(A707,E707)</f>
        <v>061006753172025</v>
      </c>
      <c r="G707" s="54" t="s">
        <v>1261</v>
      </c>
      <c r="H707" s="54"/>
      <c r="I707" s="57"/>
    </row>
    <row r="708" spans="1:9" x14ac:dyDescent="0.2">
      <c r="A708" s="53" t="s">
        <v>1256</v>
      </c>
      <c r="B708" s="54" t="s">
        <v>1257</v>
      </c>
      <c r="C708" s="54" t="s">
        <v>1258</v>
      </c>
      <c r="D708" s="54" t="s">
        <v>1294</v>
      </c>
      <c r="E708" s="55" t="s">
        <v>1295</v>
      </c>
      <c r="F708" s="56" t="str">
        <f t="shared" si="11"/>
        <v>061006753182025</v>
      </c>
      <c r="G708" s="54" t="s">
        <v>1261</v>
      </c>
      <c r="H708" s="54"/>
      <c r="I708" s="57"/>
    </row>
    <row r="709" spans="1:9" x14ac:dyDescent="0.2">
      <c r="A709" s="53" t="s">
        <v>1256</v>
      </c>
      <c r="B709" s="54" t="s">
        <v>1257</v>
      </c>
      <c r="C709" s="54" t="s">
        <v>1258</v>
      </c>
      <c r="D709" s="54" t="s">
        <v>1296</v>
      </c>
      <c r="E709" s="55" t="s">
        <v>1297</v>
      </c>
      <c r="F709" s="56" t="str">
        <f t="shared" si="11"/>
        <v>061006753192025</v>
      </c>
      <c r="G709" s="54" t="s">
        <v>1261</v>
      </c>
      <c r="H709" s="54"/>
      <c r="I709" s="57"/>
    </row>
    <row r="710" spans="1:9" x14ac:dyDescent="0.2">
      <c r="A710" s="53" t="s">
        <v>1256</v>
      </c>
      <c r="B710" s="54" t="s">
        <v>1257</v>
      </c>
      <c r="C710" s="54" t="s">
        <v>1258</v>
      </c>
      <c r="D710" s="54" t="s">
        <v>1298</v>
      </c>
      <c r="E710" s="55" t="s">
        <v>1299</v>
      </c>
      <c r="F710" s="56" t="str">
        <f t="shared" si="11"/>
        <v>061006753202025</v>
      </c>
      <c r="G710" s="54" t="s">
        <v>1261</v>
      </c>
      <c r="H710" s="54"/>
      <c r="I710" s="57"/>
    </row>
    <row r="711" spans="1:9" x14ac:dyDescent="0.2">
      <c r="A711" s="53" t="s">
        <v>1256</v>
      </c>
      <c r="B711" s="54" t="s">
        <v>1257</v>
      </c>
      <c r="C711" s="54" t="s">
        <v>1258</v>
      </c>
      <c r="D711" s="54" t="s">
        <v>1300</v>
      </c>
      <c r="E711" s="55" t="s">
        <v>1301</v>
      </c>
      <c r="F711" s="56" t="str">
        <f t="shared" si="11"/>
        <v>061006753212025</v>
      </c>
      <c r="G711" s="54" t="s">
        <v>1261</v>
      </c>
      <c r="H711" s="54"/>
      <c r="I711" s="57"/>
    </row>
    <row r="712" spans="1:9" x14ac:dyDescent="0.2">
      <c r="A712" s="53" t="s">
        <v>1256</v>
      </c>
      <c r="B712" s="54" t="s">
        <v>1257</v>
      </c>
      <c r="C712" s="54" t="s">
        <v>1258</v>
      </c>
      <c r="D712" s="54" t="s">
        <v>1302</v>
      </c>
      <c r="E712" s="55" t="s">
        <v>1303</v>
      </c>
      <c r="F712" s="56" t="str">
        <f t="shared" si="11"/>
        <v>061006753222025</v>
      </c>
      <c r="G712" s="54" t="s">
        <v>1261</v>
      </c>
      <c r="H712" s="54"/>
      <c r="I712" s="57"/>
    </row>
    <row r="713" spans="1:9" x14ac:dyDescent="0.2">
      <c r="A713" s="53" t="s">
        <v>1256</v>
      </c>
      <c r="B713" s="54" t="s">
        <v>1257</v>
      </c>
      <c r="C713" s="54" t="s">
        <v>1258</v>
      </c>
      <c r="D713" s="54" t="s">
        <v>1304</v>
      </c>
      <c r="E713" s="55" t="s">
        <v>1305</v>
      </c>
      <c r="F713" s="56" t="str">
        <f t="shared" si="11"/>
        <v>061006753232025</v>
      </c>
      <c r="G713" s="54" t="s">
        <v>1261</v>
      </c>
      <c r="H713" s="54"/>
      <c r="I713" s="57"/>
    </row>
    <row r="714" spans="1:9" x14ac:dyDescent="0.2">
      <c r="A714" s="53" t="s">
        <v>1256</v>
      </c>
      <c r="B714" s="54" t="s">
        <v>1257</v>
      </c>
      <c r="C714" s="54" t="s">
        <v>1258</v>
      </c>
      <c r="D714" s="54" t="s">
        <v>1306</v>
      </c>
      <c r="E714" s="55" t="s">
        <v>1307</v>
      </c>
      <c r="F714" s="56" t="str">
        <f t="shared" si="11"/>
        <v>061006753242025</v>
      </c>
      <c r="G714" s="54" t="s">
        <v>1261</v>
      </c>
      <c r="H714" s="54"/>
      <c r="I714" s="57"/>
    </row>
    <row r="715" spans="1:9" x14ac:dyDescent="0.2">
      <c r="A715" s="53" t="s">
        <v>1256</v>
      </c>
      <c r="B715" s="54" t="s">
        <v>1257</v>
      </c>
      <c r="C715" s="54" t="s">
        <v>1258</v>
      </c>
      <c r="D715" s="54" t="s">
        <v>1308</v>
      </c>
      <c r="E715" s="55" t="s">
        <v>1309</v>
      </c>
      <c r="F715" s="56" t="str">
        <f t="shared" si="11"/>
        <v>061006753252025</v>
      </c>
      <c r="G715" s="54" t="s">
        <v>1261</v>
      </c>
      <c r="H715" s="54"/>
      <c r="I715" s="57"/>
    </row>
    <row r="716" spans="1:9" x14ac:dyDescent="0.2">
      <c r="A716" s="53" t="s">
        <v>1256</v>
      </c>
      <c r="B716" s="54" t="s">
        <v>1257</v>
      </c>
      <c r="C716" s="54" t="s">
        <v>1258</v>
      </c>
      <c r="D716" s="54" t="s">
        <v>1310</v>
      </c>
      <c r="E716" s="55" t="s">
        <v>1311</v>
      </c>
      <c r="F716" s="56" t="str">
        <f t="shared" si="11"/>
        <v>061006753262025</v>
      </c>
      <c r="G716" s="54" t="s">
        <v>1261</v>
      </c>
      <c r="H716" s="54"/>
      <c r="I716" s="57"/>
    </row>
    <row r="717" spans="1:9" x14ac:dyDescent="0.2">
      <c r="A717" s="53" t="s">
        <v>1256</v>
      </c>
      <c r="B717" s="54" t="s">
        <v>1257</v>
      </c>
      <c r="C717" s="54" t="s">
        <v>1258</v>
      </c>
      <c r="D717" s="54" t="s">
        <v>1312</v>
      </c>
      <c r="E717" s="55" t="s">
        <v>1313</v>
      </c>
      <c r="F717" s="56" t="str">
        <f t="shared" si="11"/>
        <v>061006753272025</v>
      </c>
      <c r="G717" s="54" t="s">
        <v>1261</v>
      </c>
      <c r="H717" s="54"/>
      <c r="I717" s="57"/>
    </row>
    <row r="718" spans="1:9" x14ac:dyDescent="0.2">
      <c r="A718" s="53" t="s">
        <v>1256</v>
      </c>
      <c r="B718" s="54" t="s">
        <v>1257</v>
      </c>
      <c r="C718" s="54" t="s">
        <v>1258</v>
      </c>
      <c r="D718" s="54" t="s">
        <v>1314</v>
      </c>
      <c r="E718" s="55" t="s">
        <v>1315</v>
      </c>
      <c r="F718" s="56" t="str">
        <f t="shared" si="11"/>
        <v>061006753282025</v>
      </c>
      <c r="G718" s="54" t="s">
        <v>1261</v>
      </c>
      <c r="H718" s="54"/>
      <c r="I718" s="57"/>
    </row>
    <row r="719" spans="1:9" x14ac:dyDescent="0.2">
      <c r="A719" s="53" t="s">
        <v>1256</v>
      </c>
      <c r="B719" s="54" t="s">
        <v>1257</v>
      </c>
      <c r="C719" s="54" t="s">
        <v>1258</v>
      </c>
      <c r="D719" s="54" t="s">
        <v>1316</v>
      </c>
      <c r="E719" s="55" t="s">
        <v>1317</v>
      </c>
      <c r="F719" s="56" t="str">
        <f t="shared" si="11"/>
        <v>061006753292025</v>
      </c>
      <c r="G719" s="54" t="s">
        <v>1261</v>
      </c>
      <c r="H719" s="54"/>
      <c r="I719" s="57"/>
    </row>
    <row r="720" spans="1:9" x14ac:dyDescent="0.2">
      <c r="A720" s="53" t="s">
        <v>1256</v>
      </c>
      <c r="B720" s="54" t="s">
        <v>1257</v>
      </c>
      <c r="C720" s="54" t="s">
        <v>1258</v>
      </c>
      <c r="D720" s="54" t="s">
        <v>1318</v>
      </c>
      <c r="E720" s="55" t="s">
        <v>1319</v>
      </c>
      <c r="F720" s="56" t="str">
        <f t="shared" si="11"/>
        <v>061006753302025</v>
      </c>
      <c r="G720" s="54" t="s">
        <v>1261</v>
      </c>
      <c r="H720" s="54"/>
      <c r="I720" s="57"/>
    </row>
    <row r="721" spans="1:9" x14ac:dyDescent="0.2">
      <c r="A721" s="53" t="s">
        <v>1256</v>
      </c>
      <c r="B721" s="54" t="s">
        <v>1257</v>
      </c>
      <c r="C721" s="54" t="s">
        <v>1258</v>
      </c>
      <c r="D721" s="54" t="s">
        <v>1320</v>
      </c>
      <c r="E721" s="55" t="s">
        <v>1321</v>
      </c>
      <c r="F721" s="56" t="str">
        <f t="shared" si="11"/>
        <v>061006753312025</v>
      </c>
      <c r="G721" s="54" t="s">
        <v>1261</v>
      </c>
      <c r="H721" s="54"/>
      <c r="I721" s="57"/>
    </row>
    <row r="722" spans="1:9" x14ac:dyDescent="0.2">
      <c r="A722" s="53" t="s">
        <v>1256</v>
      </c>
      <c r="B722" s="54" t="s">
        <v>1257</v>
      </c>
      <c r="C722" s="54" t="s">
        <v>1258</v>
      </c>
      <c r="D722" s="54" t="s">
        <v>1322</v>
      </c>
      <c r="E722" s="55" t="s">
        <v>1323</v>
      </c>
      <c r="F722" s="56" t="str">
        <f t="shared" si="11"/>
        <v>061006753322025</v>
      </c>
      <c r="G722" s="54" t="s">
        <v>1261</v>
      </c>
      <c r="H722" s="54"/>
      <c r="I722" s="57"/>
    </row>
    <row r="723" spans="1:9" x14ac:dyDescent="0.2">
      <c r="A723" s="53" t="s">
        <v>1256</v>
      </c>
      <c r="B723" s="54" t="s">
        <v>1257</v>
      </c>
      <c r="C723" s="54" t="s">
        <v>1258</v>
      </c>
      <c r="D723" s="54" t="s">
        <v>1324</v>
      </c>
      <c r="E723" s="55" t="s">
        <v>1325</v>
      </c>
      <c r="F723" s="56" t="str">
        <f t="shared" si="11"/>
        <v>061006753332025</v>
      </c>
      <c r="G723" s="54" t="s">
        <v>1261</v>
      </c>
      <c r="H723" s="54"/>
      <c r="I723" s="57"/>
    </row>
    <row r="724" spans="1:9" x14ac:dyDescent="0.2">
      <c r="A724" s="53" t="s">
        <v>1256</v>
      </c>
      <c r="B724" s="54" t="s">
        <v>1257</v>
      </c>
      <c r="C724" s="54" t="s">
        <v>1258</v>
      </c>
      <c r="D724" s="54" t="s">
        <v>1326</v>
      </c>
      <c r="E724" s="55" t="s">
        <v>1327</v>
      </c>
      <c r="F724" s="56" t="str">
        <f t="shared" si="11"/>
        <v>061006753342025</v>
      </c>
      <c r="G724" s="54" t="s">
        <v>1261</v>
      </c>
      <c r="H724" s="54"/>
      <c r="I724" s="57"/>
    </row>
    <row r="725" spans="1:9" x14ac:dyDescent="0.2">
      <c r="A725" s="53" t="s">
        <v>1256</v>
      </c>
      <c r="B725" s="54" t="s">
        <v>1257</v>
      </c>
      <c r="C725" s="54" t="s">
        <v>1258</v>
      </c>
      <c r="D725" s="54" t="s">
        <v>1328</v>
      </c>
      <c r="E725" s="55" t="s">
        <v>1329</v>
      </c>
      <c r="F725" s="56" t="str">
        <f t="shared" si="11"/>
        <v>061006753352025</v>
      </c>
      <c r="G725" s="54" t="s">
        <v>1261</v>
      </c>
      <c r="H725" s="54"/>
      <c r="I725" s="57"/>
    </row>
    <row r="726" spans="1:9" x14ac:dyDescent="0.2">
      <c r="A726" s="53" t="s">
        <v>1256</v>
      </c>
      <c r="B726" s="54" t="s">
        <v>1257</v>
      </c>
      <c r="C726" s="54" t="s">
        <v>1258</v>
      </c>
      <c r="D726" s="54" t="s">
        <v>1330</v>
      </c>
      <c r="E726" s="55" t="s">
        <v>1331</v>
      </c>
      <c r="F726" s="56" t="str">
        <f t="shared" si="11"/>
        <v>061006753362025</v>
      </c>
      <c r="G726" s="54" t="s">
        <v>1261</v>
      </c>
      <c r="H726" s="54"/>
      <c r="I726" s="57"/>
    </row>
    <row r="727" spans="1:9" x14ac:dyDescent="0.2">
      <c r="A727" s="53" t="s">
        <v>1256</v>
      </c>
      <c r="B727" s="54" t="s">
        <v>1257</v>
      </c>
      <c r="C727" s="54" t="s">
        <v>1258</v>
      </c>
      <c r="D727" s="54" t="s">
        <v>1332</v>
      </c>
      <c r="E727" s="55" t="s">
        <v>1333</v>
      </c>
      <c r="F727" s="56" t="str">
        <f t="shared" si="11"/>
        <v>061006753372025</v>
      </c>
      <c r="G727" s="54" t="s">
        <v>1261</v>
      </c>
      <c r="H727" s="54"/>
      <c r="I727" s="57"/>
    </row>
    <row r="728" spans="1:9" x14ac:dyDescent="0.2">
      <c r="A728" s="53" t="s">
        <v>1256</v>
      </c>
      <c r="B728" s="54" t="s">
        <v>1257</v>
      </c>
      <c r="C728" s="54" t="s">
        <v>1258</v>
      </c>
      <c r="D728" s="54" t="s">
        <v>1334</v>
      </c>
      <c r="E728" s="55" t="s">
        <v>1335</v>
      </c>
      <c r="F728" s="56" t="str">
        <f t="shared" si="11"/>
        <v>061006753382025</v>
      </c>
      <c r="G728" s="54" t="s">
        <v>1261</v>
      </c>
      <c r="H728" s="54"/>
      <c r="I728" s="57"/>
    </row>
    <row r="729" spans="1:9" x14ac:dyDescent="0.2">
      <c r="A729" s="53" t="s">
        <v>1256</v>
      </c>
      <c r="B729" s="54" t="s">
        <v>1257</v>
      </c>
      <c r="C729" s="54" t="s">
        <v>1258</v>
      </c>
      <c r="D729" s="54" t="s">
        <v>1336</v>
      </c>
      <c r="E729" s="55" t="s">
        <v>1337</v>
      </c>
      <c r="F729" s="56" t="str">
        <f t="shared" si="11"/>
        <v>061006753392025</v>
      </c>
      <c r="G729" s="54" t="s">
        <v>1261</v>
      </c>
      <c r="H729" s="54"/>
      <c r="I729" s="57"/>
    </row>
    <row r="730" spans="1:9" x14ac:dyDescent="0.2">
      <c r="A730" s="53" t="s">
        <v>1256</v>
      </c>
      <c r="B730" s="54" t="s">
        <v>1257</v>
      </c>
      <c r="C730" s="54" t="s">
        <v>1258</v>
      </c>
      <c r="D730" s="54" t="s">
        <v>1338</v>
      </c>
      <c r="E730" s="55" t="s">
        <v>1339</v>
      </c>
      <c r="F730" s="56" t="str">
        <f t="shared" si="11"/>
        <v>061006753402025</v>
      </c>
      <c r="G730" s="54" t="s">
        <v>1261</v>
      </c>
      <c r="H730" s="54"/>
      <c r="I730" s="57"/>
    </row>
    <row r="731" spans="1:9" x14ac:dyDescent="0.2">
      <c r="A731" s="53" t="s">
        <v>1256</v>
      </c>
      <c r="B731" s="54" t="s">
        <v>1257</v>
      </c>
      <c r="C731" s="54" t="s">
        <v>1258</v>
      </c>
      <c r="D731" s="54" t="s">
        <v>1340</v>
      </c>
      <c r="E731" s="55" t="s">
        <v>1341</v>
      </c>
      <c r="F731" s="56" t="str">
        <f t="shared" si="11"/>
        <v>061006753412025</v>
      </c>
      <c r="G731" s="54" t="s">
        <v>1261</v>
      </c>
      <c r="H731" s="54"/>
      <c r="I731" s="57"/>
    </row>
    <row r="732" spans="1:9" x14ac:dyDescent="0.2">
      <c r="A732" s="53" t="s">
        <v>1256</v>
      </c>
      <c r="B732" s="54" t="s">
        <v>1257</v>
      </c>
      <c r="C732" s="54" t="s">
        <v>1258</v>
      </c>
      <c r="D732" s="54" t="s">
        <v>1342</v>
      </c>
      <c r="E732" s="55" t="s">
        <v>1343</v>
      </c>
      <c r="F732" s="56" t="str">
        <f t="shared" si="11"/>
        <v>061006753422025</v>
      </c>
      <c r="G732" s="54" t="s">
        <v>1261</v>
      </c>
      <c r="H732" s="54"/>
      <c r="I732" s="57"/>
    </row>
    <row r="733" spans="1:9" x14ac:dyDescent="0.2">
      <c r="A733" s="53" t="s">
        <v>1256</v>
      </c>
      <c r="B733" s="54" t="s">
        <v>1257</v>
      </c>
      <c r="C733" s="54" t="s">
        <v>1258</v>
      </c>
      <c r="D733" s="54" t="s">
        <v>1344</v>
      </c>
      <c r="E733" s="55" t="s">
        <v>1345</v>
      </c>
      <c r="F733" s="56" t="str">
        <f t="shared" si="11"/>
        <v>061006753432025</v>
      </c>
      <c r="G733" s="54" t="s">
        <v>1261</v>
      </c>
      <c r="H733" s="54"/>
      <c r="I733" s="57"/>
    </row>
    <row r="734" spans="1:9" x14ac:dyDescent="0.2">
      <c r="A734" s="53" t="s">
        <v>1256</v>
      </c>
      <c r="B734" s="54" t="s">
        <v>1257</v>
      </c>
      <c r="C734" s="54" t="s">
        <v>1258</v>
      </c>
      <c r="D734" s="54" t="s">
        <v>1346</v>
      </c>
      <c r="E734" s="55" t="s">
        <v>1347</v>
      </c>
      <c r="F734" s="56" t="str">
        <f t="shared" si="11"/>
        <v>061006753442025</v>
      </c>
      <c r="G734" s="54" t="s">
        <v>1261</v>
      </c>
      <c r="H734" s="54"/>
      <c r="I734" s="57"/>
    </row>
    <row r="735" spans="1:9" x14ac:dyDescent="0.2">
      <c r="A735" s="53" t="s">
        <v>1256</v>
      </c>
      <c r="B735" s="54" t="s">
        <v>1257</v>
      </c>
      <c r="C735" s="54" t="s">
        <v>1258</v>
      </c>
      <c r="D735" s="54" t="s">
        <v>1348</v>
      </c>
      <c r="E735" s="55" t="s">
        <v>1349</v>
      </c>
      <c r="F735" s="56" t="str">
        <f t="shared" si="11"/>
        <v>061006753452025</v>
      </c>
      <c r="G735" s="54" t="s">
        <v>1261</v>
      </c>
      <c r="H735" s="54"/>
      <c r="I735" s="57"/>
    </row>
    <row r="736" spans="1:9" x14ac:dyDescent="0.2">
      <c r="A736" s="53" t="s">
        <v>1256</v>
      </c>
      <c r="B736" s="54" t="s">
        <v>1257</v>
      </c>
      <c r="C736" s="54" t="s">
        <v>1258</v>
      </c>
      <c r="D736" s="54" t="s">
        <v>1350</v>
      </c>
      <c r="E736" s="55" t="s">
        <v>1351</v>
      </c>
      <c r="F736" s="56" t="str">
        <f t="shared" si="11"/>
        <v>061006753462025</v>
      </c>
      <c r="G736" s="54" t="s">
        <v>1261</v>
      </c>
      <c r="H736" s="54"/>
      <c r="I736" s="57"/>
    </row>
    <row r="737" spans="1:9" x14ac:dyDescent="0.2">
      <c r="A737" s="53" t="s">
        <v>1256</v>
      </c>
      <c r="B737" s="54" t="s">
        <v>1257</v>
      </c>
      <c r="C737" s="54" t="s">
        <v>1258</v>
      </c>
      <c r="D737" s="54" t="s">
        <v>1352</v>
      </c>
      <c r="E737" s="55" t="s">
        <v>1353</v>
      </c>
      <c r="F737" s="56" t="str">
        <f t="shared" si="11"/>
        <v>061006753472025</v>
      </c>
      <c r="G737" s="54" t="s">
        <v>1261</v>
      </c>
      <c r="H737" s="54"/>
      <c r="I737" s="57"/>
    </row>
    <row r="738" spans="1:9" x14ac:dyDescent="0.2">
      <c r="A738" s="53" t="s">
        <v>1256</v>
      </c>
      <c r="B738" s="54" t="s">
        <v>1257</v>
      </c>
      <c r="C738" s="54" t="s">
        <v>1258</v>
      </c>
      <c r="D738" s="54" t="s">
        <v>1354</v>
      </c>
      <c r="E738" s="55" t="s">
        <v>1355</v>
      </c>
      <c r="F738" s="56" t="str">
        <f t="shared" si="11"/>
        <v>061006753482025</v>
      </c>
      <c r="G738" s="54" t="s">
        <v>1261</v>
      </c>
      <c r="H738" s="54"/>
      <c r="I738" s="57"/>
    </row>
    <row r="739" spans="1:9" x14ac:dyDescent="0.2">
      <c r="A739" s="53" t="s">
        <v>1256</v>
      </c>
      <c r="B739" s="54" t="s">
        <v>1257</v>
      </c>
      <c r="C739" s="54" t="s">
        <v>1258</v>
      </c>
      <c r="D739" s="54" t="s">
        <v>1356</v>
      </c>
      <c r="E739" s="55" t="s">
        <v>1357</v>
      </c>
      <c r="F739" s="56" t="str">
        <f t="shared" si="11"/>
        <v>061006753492025</v>
      </c>
      <c r="G739" s="54" t="s">
        <v>1261</v>
      </c>
      <c r="H739" s="54"/>
      <c r="I739" s="57"/>
    </row>
    <row r="740" spans="1:9" x14ac:dyDescent="0.2">
      <c r="A740" s="53" t="s">
        <v>1256</v>
      </c>
      <c r="B740" s="54" t="s">
        <v>1257</v>
      </c>
      <c r="C740" s="54" t="s">
        <v>1258</v>
      </c>
      <c r="D740" s="54" t="s">
        <v>1358</v>
      </c>
      <c r="E740" s="55" t="s">
        <v>1359</v>
      </c>
      <c r="F740" s="56" t="str">
        <f t="shared" si="11"/>
        <v>061006753502025</v>
      </c>
      <c r="G740" s="54" t="s">
        <v>1261</v>
      </c>
      <c r="H740" s="54"/>
      <c r="I740" s="57"/>
    </row>
    <row r="741" spans="1:9" x14ac:dyDescent="0.2">
      <c r="A741" s="53" t="s">
        <v>1256</v>
      </c>
      <c r="B741" s="54" t="s">
        <v>1257</v>
      </c>
      <c r="C741" s="54" t="s">
        <v>1258</v>
      </c>
      <c r="D741" s="54" t="s">
        <v>1360</v>
      </c>
      <c r="E741" s="55" t="s">
        <v>1361</v>
      </c>
      <c r="F741" s="56" t="str">
        <f t="shared" si="11"/>
        <v>061006753512025</v>
      </c>
      <c r="G741" s="54" t="s">
        <v>1261</v>
      </c>
      <c r="H741" s="54"/>
      <c r="I741" s="57"/>
    </row>
    <row r="742" spans="1:9" x14ac:dyDescent="0.2">
      <c r="A742" s="53" t="s">
        <v>1256</v>
      </c>
      <c r="B742" s="54" t="s">
        <v>1257</v>
      </c>
      <c r="C742" s="54" t="s">
        <v>1258</v>
      </c>
      <c r="D742" s="54" t="s">
        <v>1362</v>
      </c>
      <c r="E742" s="55" t="s">
        <v>1363</v>
      </c>
      <c r="F742" s="56" t="str">
        <f t="shared" si="11"/>
        <v>061006753522025</v>
      </c>
      <c r="G742" s="54" t="s">
        <v>1261</v>
      </c>
      <c r="H742" s="54"/>
      <c r="I742" s="57"/>
    </row>
    <row r="743" spans="1:9" x14ac:dyDescent="0.2">
      <c r="A743" s="59" t="s">
        <v>1256</v>
      </c>
      <c r="B743" s="60" t="s">
        <v>1257</v>
      </c>
      <c r="C743" s="60" t="s">
        <v>1258</v>
      </c>
      <c r="D743" s="60" t="s">
        <v>1364</v>
      </c>
      <c r="E743" s="61" t="s">
        <v>1365</v>
      </c>
      <c r="F743" s="62" t="str">
        <f t="shared" si="11"/>
        <v>061006753532025</v>
      </c>
      <c r="G743" s="60" t="s">
        <v>1261</v>
      </c>
      <c r="H743" s="60"/>
      <c r="I743" s="63"/>
    </row>
  </sheetData>
  <autoFilter ref="A2:I743" xr:uid="{00000000-0009-0000-0000-000002000000}"/>
  <customSheetViews>
    <customSheetView guid="{532A3ABE-C0B8-454E-8312-409D07F8E1BC}" showPageBreaks="1" printArea="1" showAutoFilter="1" state="hidden">
      <pane ySplit="2" topLeftCell="A45" activePane="bottomLeft" state="frozen"/>
      <selection pane="bottomLeft" activeCell="D758" sqref="D758"/>
      <pageMargins left="0.44999999999999996" right="0.44999999999999996" top="0.44999999999999996" bottom="0.35" header="0.31496062992125984" footer="0.31496062992125984"/>
      <pageSetup paperSize="9" orientation="landscape" r:id="rId1"/>
      <headerFooter>
        <oddHeader>&amp;R&amp;"Arial CYR,курсив" &amp;8 стр. &amp;P из &amp;N</oddHeader>
      </headerFooter>
      <autoFilter ref="A2:I743" xr:uid="{B4430CD3-7F5C-48AF-A14A-556A11A05554}"/>
    </customSheetView>
    <customSheetView guid="{F18C6564-9F45-4CD0-9A1D-FBB403DEA45A}" showAutoFilter="1" state="hidden">
      <pane ySplit="2" topLeftCell="A45" activePane="bottomLeft" state="frozen"/>
      <selection pane="bottomLeft" activeCell="D758" sqref="D758"/>
      <pageMargins left="0.44999999999999996" right="0.44999999999999996" top="0.44999999999999996" bottom="0.35" header="0.31496062992125984" footer="0.31496062992125984"/>
      <pageSetup paperSize="9" orientation="landscape" r:id="rId2"/>
      <headerFooter>
        <oddHeader>&amp;R&amp;"Arial CYR,курсив" &amp;8 стр. &amp;P из &amp;N</oddHeader>
      </headerFooter>
      <autoFilter ref="A2:I743" xr:uid="{C5BCCBDA-A4C0-4080-A983-8E52C4FC909C}"/>
    </customSheetView>
    <customSheetView guid="{C805C1EB-A6EB-4CC0-BBC3-CBBBADADA5C8}" showPageBreaks="1" printArea="1" showAutoFilter="1" state="hidden">
      <pane ySplit="2" topLeftCell="A45" activePane="bottomLeft" state="frozen"/>
      <selection pane="bottomLeft" activeCell="D758" sqref="D758"/>
      <pageMargins left="0.44999999999999996" right="0.44999999999999996" top="0.44999999999999996" bottom="0.35" header="0.31496062992125984" footer="0.31496062992125984"/>
      <pageSetup paperSize="9" orientation="landscape" r:id="rId3"/>
      <headerFooter>
        <oddHeader>&amp;R&amp;"Arial CYR,курсив" &amp;8 стр. &amp;P из &amp;N</oddHeader>
      </headerFooter>
      <autoFilter ref="A2:I743" xr:uid="{080B723E-A4A5-4E40-A2F3-0A71A02001D0}"/>
    </customSheetView>
  </customSheetViews>
  <pageMargins left="0.44999999999999996" right="0.44999999999999996" top="0.44999999999999996" bottom="0.35" header="0.31496062992125984" footer="0.31496062992125984"/>
  <pageSetup paperSize="9" orientation="landscape" r:id="rId4"/>
  <headerFooter>
    <oddHeader>&amp;R&amp;"Arial CYR,курсив" &amp;8 стр. &amp;P из &amp;N</oddHeader>
  </headerFooter>
</worksheet>
</file>

<file path=xl/worksheets/wsSortMap1.xml><?xml version="1.0" encoding="utf-8"?>
<worksheetSortMap xmlns="http://schemas.microsoft.com/office/excel/2006/main">
  <rowSortMap ref="A2:XFD592" count="591">
    <row newVal="1" oldVal="346"/>
    <row newVal="2" oldVal="449"/>
    <row newVal="3" oldVal="396"/>
    <row newVal="4" oldVal="397"/>
    <row newVal="5" oldVal="398"/>
    <row newVal="6" oldVal="399"/>
    <row newVal="7" oldVal="383"/>
    <row newVal="8" oldVal="332"/>
    <row newVal="9" oldVal="498"/>
    <row newVal="10" oldVal="497"/>
    <row newVal="11" oldVal="382"/>
    <row newVal="12" oldVal="448"/>
    <row newVal="13" oldVal="467"/>
    <row newVal="14" oldVal="468"/>
    <row newVal="15" oldVal="454"/>
    <row newVal="16" oldVal="363"/>
    <row newVal="17" oldVal="364"/>
    <row newVal="18" oldVal="590"/>
    <row newVal="19" oldVal="591"/>
    <row newVal="20" oldVal="365"/>
    <row newVal="21" oldVal="490"/>
    <row newVal="22" oldVal="469"/>
    <row newVal="23" oldVal="470"/>
    <row newVal="24" oldVal="471"/>
    <row newVal="25" oldVal="472"/>
    <row newVal="26" oldVal="488"/>
    <row newVal="27" oldVal="1"/>
    <row newVal="28" oldVal="493"/>
    <row newVal="29" oldVal="489"/>
    <row newVal="30" oldVal="492"/>
    <row newVal="31" oldVal="256"/>
    <row newVal="32" oldVal="487"/>
    <row newVal="33" oldVal="481"/>
    <row newVal="34" oldVal="480"/>
    <row newVal="35" oldVal="436"/>
    <row newVal="36" oldVal="437"/>
    <row newVal="37" oldVal="438"/>
    <row newVal="38" oldVal="439"/>
    <row newVal="39" oldVal="440"/>
    <row newVal="40" oldVal="441"/>
    <row newVal="41" oldVal="442"/>
    <row newVal="42" oldVal="443"/>
    <row newVal="43" oldVal="444"/>
    <row newVal="44" oldVal="445"/>
    <row newVal="45" oldVal="446"/>
    <row newVal="46" oldVal="447"/>
    <row newVal="47" oldVal="455"/>
    <row newVal="48" oldVal="456"/>
    <row newVal="49" oldVal="457"/>
    <row newVal="50" oldVal="458"/>
    <row newVal="51" oldVal="459"/>
    <row newVal="52" oldVal="460"/>
    <row newVal="53" oldVal="461"/>
    <row newVal="54" oldVal="462"/>
    <row newVal="55" oldVal="463"/>
    <row newVal="56" oldVal="464"/>
    <row newVal="57" oldVal="465"/>
    <row newVal="58" oldVal="466"/>
    <row newVal="59" oldVal="474"/>
    <row newVal="60" oldVal="475"/>
    <row newVal="61" oldVal="476"/>
    <row newVal="62" oldVal="477"/>
    <row newVal="63" oldVal="2"/>
    <row newVal="64" oldVal="3"/>
    <row newVal="65" oldVal="4"/>
    <row newVal="66" oldVal="5"/>
    <row newVal="67" oldVal="6"/>
    <row newVal="68" oldVal="7"/>
    <row newVal="69" oldVal="8"/>
    <row newVal="70" oldVal="9"/>
    <row newVal="71" oldVal="10"/>
    <row newVal="72" oldVal="11"/>
    <row newVal="73" oldVal="12"/>
    <row newVal="74" oldVal="13"/>
    <row newVal="75" oldVal="356"/>
    <row newVal="76" oldVal="357"/>
    <row newVal="77" oldVal="358"/>
    <row newVal="78" oldVal="359"/>
    <row newVal="79" oldVal="14"/>
    <row newVal="80" oldVal="15"/>
    <row newVal="81" oldVal="16"/>
    <row newVal="82" oldVal="17"/>
    <row newVal="83" oldVal="18"/>
    <row newVal="84" oldVal="19"/>
    <row newVal="85" oldVal="20"/>
    <row newVal="86" oldVal="21"/>
    <row newVal="87" oldVal="22"/>
    <row newVal="88" oldVal="23"/>
    <row newVal="89" oldVal="24"/>
    <row newVal="90" oldVal="25"/>
    <row newVal="91" oldVal="26"/>
    <row newVal="92" oldVal="27"/>
    <row newVal="93" oldVal="28"/>
    <row newVal="94" oldVal="29"/>
    <row newVal="95" oldVal="30"/>
    <row newVal="96" oldVal="31"/>
    <row newVal="97" oldVal="32"/>
    <row newVal="98" oldVal="33"/>
    <row newVal="99" oldVal="34"/>
    <row newVal="100" oldVal="35"/>
    <row newVal="101" oldVal="36"/>
    <row newVal="102" oldVal="450"/>
    <row newVal="103" oldVal="451"/>
    <row newVal="104" oldVal="452"/>
    <row newVal="105" oldVal="453"/>
    <row newVal="106" oldVal="482"/>
    <row newVal="107" oldVal="483"/>
    <row newVal="108" oldVal="484"/>
    <row newVal="109" oldVal="485"/>
    <row newVal="110" oldVal="491"/>
    <row newVal="111" oldVal="353"/>
    <row newVal="112" oldVal="367"/>
    <row newVal="113" oldVal="368"/>
    <row newVal="114" oldVal="369"/>
    <row newVal="115" oldVal="370"/>
    <row newVal="116" oldVal="371"/>
    <row newVal="117" oldVal="372"/>
    <row newVal="118" oldVal="373"/>
    <row newVal="119" oldVal="374"/>
    <row newVal="120" oldVal="375"/>
    <row newVal="121" oldVal="376"/>
    <row newVal="122" oldVal="377"/>
    <row newVal="123" oldVal="362"/>
    <row newVal="124" oldVal="347"/>
    <row newVal="125" oldVal="348"/>
    <row newVal="126" oldVal="349"/>
    <row newVal="127" oldVal="350"/>
    <row newVal="128" oldVal="554"/>
    <row newVal="129" oldVal="555"/>
    <row newVal="130" oldVal="556"/>
    <row newVal="131" oldVal="378"/>
    <row newVal="132" oldVal="379"/>
    <row newVal="133" oldVal="380"/>
    <row newVal="134" oldVal="366"/>
    <row newVal="135" oldVal="360"/>
    <row newVal="136" oldVal="361"/>
    <row newVal="137" oldVal="381"/>
    <row newVal="138" oldVal="37"/>
    <row newVal="139" oldVal="506"/>
    <row newVal="140" oldVal="513"/>
    <row newVal="141" oldVal="537"/>
    <row newVal="142" oldVal="505"/>
    <row newVal="143" oldVal="503"/>
    <row newVal="144" oldVal="38"/>
    <row newVal="145" oldVal="39"/>
    <row newVal="146" oldVal="40"/>
    <row newVal="147" oldVal="41"/>
    <row newVal="148" oldVal="42"/>
    <row newVal="149" oldVal="43"/>
    <row newVal="150" oldVal="44"/>
    <row newVal="151" oldVal="45"/>
    <row newVal="152" oldVal="46"/>
    <row newVal="153" oldVal="47"/>
    <row newVal="154" oldVal="48"/>
    <row newVal="155" oldVal="49"/>
    <row newVal="156" oldVal="50"/>
    <row newVal="157" oldVal="51"/>
    <row newVal="158" oldVal="52"/>
    <row newVal="159" oldVal="53"/>
    <row newVal="160" oldVal="54"/>
    <row newVal="161" oldVal="55"/>
    <row newVal="162" oldVal="56"/>
    <row newVal="163" oldVal="57"/>
    <row newVal="164" oldVal="58"/>
    <row newVal="165" oldVal="59"/>
    <row newVal="166" oldVal="60"/>
    <row newVal="167" oldVal="61"/>
    <row newVal="168" oldVal="62"/>
    <row newVal="169" oldVal="63"/>
    <row newVal="170" oldVal="65"/>
    <row newVal="171" oldVal="64"/>
    <row newVal="172" oldVal="66"/>
    <row newVal="173" oldVal="67"/>
    <row newVal="174" oldVal="68"/>
    <row newVal="175" oldVal="69"/>
    <row newVal="176" oldVal="70"/>
    <row newVal="177" oldVal="71"/>
    <row newVal="178" oldVal="72"/>
    <row newVal="179" oldVal="73"/>
    <row newVal="180" oldVal="486"/>
    <row newVal="181" oldVal="495"/>
    <row newVal="182" oldVal="251"/>
    <row newVal="183" oldVal="239"/>
    <row newVal="184" oldVal="240"/>
    <row newVal="185" oldVal="241"/>
    <row newVal="186" oldVal="242"/>
    <row newVal="187" oldVal="243"/>
    <row newVal="188" oldVal="244"/>
    <row newVal="189" oldVal="245"/>
    <row newVal="190" oldVal="246"/>
    <row newVal="191" oldVal="247"/>
    <row newVal="192" oldVal="248"/>
    <row newVal="193" oldVal="249"/>
    <row newVal="194" oldVal="250"/>
    <row newVal="195" oldVal="496"/>
    <row newVal="196" oldVal="479"/>
    <row newVal="197" oldVal="478"/>
    <row newVal="198" oldVal="264"/>
    <row newVal="199" oldVal="263"/>
    <row newVal="200" oldVal="565"/>
    <row newVal="201" oldVal="566"/>
    <row newVal="202" oldVal="567"/>
    <row newVal="203" oldVal="568"/>
    <row newVal="204" oldVal="569"/>
    <row newVal="205" oldVal="570"/>
    <row newVal="206" oldVal="571"/>
    <row newVal="207" oldVal="572"/>
    <row newVal="208" oldVal="573"/>
    <row newVal="209" oldVal="574"/>
    <row newVal="210" oldVal="575"/>
    <row newVal="211" oldVal="576"/>
    <row newVal="212" oldVal="230"/>
    <row newVal="213" oldVal="231"/>
    <row newVal="214" oldVal="232"/>
    <row newVal="215" oldVal="233"/>
    <row newVal="216" oldVal="333"/>
    <row newVal="217" oldVal="334"/>
    <row newVal="218" oldVal="335"/>
    <row newVal="219" oldVal="336"/>
    <row newVal="220" oldVal="337"/>
    <row newVal="221" oldVal="338"/>
    <row newVal="222" oldVal="339"/>
    <row newVal="223" oldVal="340"/>
    <row newVal="224" oldVal="341"/>
    <row newVal="225" oldVal="342"/>
    <row newVal="226" oldVal="343"/>
    <row newVal="227" oldVal="344"/>
    <row newVal="228" oldVal="352"/>
    <row newVal="229" oldVal="400"/>
    <row newVal="230" oldVal="401"/>
    <row newVal="231" oldVal="402"/>
    <row newVal="232" oldVal="403"/>
    <row newVal="233" oldVal="404"/>
    <row newVal="234" oldVal="405"/>
    <row newVal="235" oldVal="406"/>
    <row newVal="236" oldVal="407"/>
    <row newVal="237" oldVal="408"/>
    <row newVal="238" oldVal="409"/>
    <row newVal="239" oldVal="410"/>
    <row newVal="240" oldVal="411"/>
    <row newVal="241" oldVal="384"/>
    <row newVal="242" oldVal="385"/>
    <row newVal="243" oldVal="386"/>
    <row newVal="244" oldVal="387"/>
    <row newVal="245" oldVal="388"/>
    <row newVal="246" oldVal="389"/>
    <row newVal="247" oldVal="390"/>
    <row newVal="248" oldVal="391"/>
    <row newVal="249" oldVal="392"/>
    <row newVal="250" oldVal="393"/>
    <row newVal="251" oldVal="394"/>
    <row newVal="252" oldVal="395"/>
    <row newVal="253" oldVal="320"/>
    <row newVal="254" oldVal="321"/>
    <row newVal="255" oldVal="322"/>
    <row newVal="256" oldVal="323"/>
    <row newVal="257" oldVal="324"/>
    <row newVal="258" oldVal="325"/>
    <row newVal="259" oldVal="326"/>
    <row newVal="260" oldVal="327"/>
    <row newVal="261" oldVal="328"/>
    <row newVal="262" oldVal="329"/>
    <row newVal="263" oldVal="330"/>
    <row newVal="264" oldVal="331"/>
    <row newVal="265" oldVal="345"/>
    <row newVal="266" oldVal="355"/>
    <row newVal="267" oldVal="424"/>
    <row newVal="268" oldVal="425"/>
    <row newVal="269" oldVal="426"/>
    <row newVal="270" oldVal="427"/>
    <row newVal="271" oldVal="428"/>
    <row newVal="272" oldVal="429"/>
    <row newVal="273" oldVal="430"/>
    <row newVal="274" oldVal="431"/>
    <row newVal="275" oldVal="432"/>
    <row newVal="276" oldVal="433"/>
    <row newVal="277" oldVal="434"/>
    <row newVal="278" oldVal="435"/>
    <row newVal="279" oldVal="494"/>
    <row newVal="280" oldVal="351"/>
    <row newVal="281" oldVal="354"/>
    <row newVal="282" oldVal="507"/>
    <row newVal="283" oldVal="514"/>
    <row newVal="284" oldVal="515"/>
    <row newVal="285" oldVal="516"/>
    <row newVal="286" oldVal="517"/>
    <row newVal="287" oldVal="518"/>
    <row newVal="288" oldVal="540"/>
    <row newVal="289" oldVal="509"/>
    <row newVal="290" oldVal="510"/>
    <row newVal="291" oldVal="511"/>
    <row newVal="292" oldVal="512"/>
    <row newVal="293" oldVal="539"/>
    <row newVal="294" oldVal="535"/>
    <row newVal="295" oldVal="536"/>
    <row newVal="296" oldVal="520"/>
    <row newVal="297" oldVal="521"/>
    <row newVal="298" oldVal="522"/>
    <row newVal="299" oldVal="541"/>
    <row newVal="300" oldVal="542"/>
    <row newVal="301" oldVal="543"/>
    <row newVal="302" oldVal="544"/>
    <row newVal="303" oldVal="545"/>
    <row newVal="304" oldVal="546"/>
    <row newVal="305" oldVal="547"/>
    <row newVal="306" oldVal="548"/>
    <row newVal="307" oldVal="549"/>
    <row newVal="308" oldVal="550"/>
    <row newVal="309" oldVal="551"/>
    <row newVal="310" oldVal="552"/>
    <row newVal="311" oldVal="508"/>
    <row newVal="312" oldVal="538"/>
    <row newVal="313" oldVal="523"/>
    <row newVal="314" oldVal="524"/>
    <row newVal="315" oldVal="525"/>
    <row newVal="316" oldVal="526"/>
    <row newVal="317" oldVal="527"/>
    <row newVal="318" oldVal="528"/>
    <row newVal="319" oldVal="529"/>
    <row newVal="320" oldVal="530"/>
    <row newVal="321" oldVal="531"/>
    <row newVal="322" oldVal="532"/>
    <row newVal="323" oldVal="533"/>
    <row newVal="324" oldVal="534"/>
    <row newVal="325" oldVal="473"/>
    <row newVal="326" oldVal="519"/>
    <row newVal="327" oldVal="504"/>
    <row newVal="328" oldVal="553"/>
    <row newVal="329" oldVal="499"/>
    <row newVal="330" oldVal="500"/>
    <row newVal="331" oldVal="501"/>
    <row newVal="332" oldVal="502"/>
    <row newVal="333" oldVal="74"/>
    <row newVal="334" oldVal="75"/>
    <row newVal="335" oldVal="76"/>
    <row newVal="336" oldVal="77"/>
    <row newVal="337" oldVal="78"/>
    <row newVal="338" oldVal="79"/>
    <row newVal="339" oldVal="80"/>
    <row newVal="340" oldVal="81"/>
    <row newVal="341" oldVal="82"/>
    <row newVal="342" oldVal="83"/>
    <row newVal="343" oldVal="84"/>
    <row newVal="344" oldVal="85"/>
    <row newVal="345" oldVal="265"/>
    <row newVal="346" oldVal="577"/>
    <row newVal="347" oldVal="578"/>
    <row newVal="348" oldVal="579"/>
    <row newVal="349" oldVal="580"/>
    <row newVal="350" oldVal="581"/>
    <row newVal="351" oldVal="582"/>
    <row newVal="352" oldVal="583"/>
    <row newVal="353" oldVal="584"/>
    <row newVal="354" oldVal="585"/>
    <row newVal="355" oldVal="586"/>
    <row newVal="356" oldVal="587"/>
    <row newVal="357" oldVal="588"/>
    <row newVal="358" oldVal="86"/>
    <row newVal="359" oldVal="87"/>
    <row newVal="360" oldVal="88"/>
    <row newVal="361" oldVal="89"/>
    <row newVal="362" oldVal="90"/>
    <row newVal="363" oldVal="91"/>
    <row newVal="364" oldVal="92"/>
    <row newVal="365" oldVal="93"/>
    <row newVal="366" oldVal="94"/>
    <row newVal="367" oldVal="95"/>
    <row newVal="368" oldVal="96"/>
    <row newVal="369" oldVal="97"/>
    <row newVal="370" oldVal="262"/>
    <row newVal="371" oldVal="308"/>
    <row newVal="372" oldVal="309"/>
    <row newVal="373" oldVal="310"/>
    <row newVal="374" oldVal="311"/>
    <row newVal="375" oldVal="312"/>
    <row newVal="376" oldVal="313"/>
    <row newVal="377" oldVal="314"/>
    <row newVal="378" oldVal="315"/>
    <row newVal="379" oldVal="316"/>
    <row newVal="380" oldVal="317"/>
    <row newVal="381" oldVal="318"/>
    <row newVal="382" oldVal="319"/>
    <row newVal="383" oldVal="252"/>
    <row newVal="384" oldVal="253"/>
    <row newVal="385" oldVal="254"/>
    <row newVal="386" oldVal="255"/>
    <row newVal="387" oldVal="261"/>
    <row newVal="388" oldVal="412"/>
    <row newVal="389" oldVal="413"/>
    <row newVal="390" oldVal="414"/>
    <row newVal="391" oldVal="415"/>
    <row newVal="392" oldVal="416"/>
    <row newVal="393" oldVal="417"/>
    <row newVal="394" oldVal="418"/>
    <row newVal="395" oldVal="419"/>
    <row newVal="396" oldVal="420"/>
    <row newVal="397" oldVal="421"/>
    <row newVal="398" oldVal="422"/>
    <row newVal="399" oldVal="423"/>
    <row newVal="400" oldVal="276"/>
    <row newVal="401" oldVal="277"/>
    <row newVal="402" oldVal="278"/>
    <row newVal="403" oldVal="279"/>
    <row newVal="404" oldVal="268"/>
    <row newVal="405" oldVal="269"/>
    <row newVal="406" oldVal="270"/>
    <row newVal="407" oldVal="271"/>
    <row newVal="408" oldVal="234"/>
    <row newVal="409" oldVal="257"/>
    <row newVal="410" oldVal="258"/>
    <row newVal="411" oldVal="259"/>
    <row newVal="412" oldVal="260"/>
    <row newVal="413" oldVal="272"/>
    <row newVal="414" oldVal="273"/>
    <row newVal="415" oldVal="274"/>
    <row newVal="416" oldVal="275"/>
    <row newVal="417" oldVal="267"/>
    <row newVal="418" oldVal="280"/>
    <row newVal="419" oldVal="281"/>
    <row newVal="420" oldVal="282"/>
    <row newVal="421" oldVal="283"/>
    <row newVal="422" oldVal="284"/>
    <row newVal="423" oldVal="285"/>
    <row newVal="424" oldVal="286"/>
    <row newVal="425" oldVal="287"/>
    <row newVal="426" oldVal="288"/>
    <row newVal="427" oldVal="289"/>
    <row newVal="428" oldVal="290"/>
    <row newVal="429" oldVal="291"/>
    <row newVal="430" oldVal="292"/>
    <row newVal="431" oldVal="235"/>
    <row newVal="432" oldVal="236"/>
    <row newVal="433" oldVal="237"/>
    <row newVal="434" oldVal="238"/>
    <row newVal="435" oldVal="266"/>
    <row newVal="436" oldVal="293"/>
    <row newVal="437" oldVal="294"/>
    <row newVal="438" oldVal="295"/>
    <row newVal="439" oldVal="296"/>
    <row newVal="440" oldVal="297"/>
    <row newVal="441" oldVal="298"/>
    <row newVal="442" oldVal="299"/>
    <row newVal="443" oldVal="300"/>
    <row newVal="444" oldVal="301"/>
    <row newVal="445" oldVal="302"/>
    <row newVal="446" oldVal="303"/>
    <row newVal="447" oldVal="304"/>
    <row newVal="448" oldVal="305"/>
    <row newVal="449" oldVal="306"/>
    <row newVal="450" oldVal="307"/>
    <row newVal="451" oldVal="98"/>
    <row newVal="452" oldVal="99"/>
    <row newVal="453" oldVal="100"/>
    <row newVal="454" oldVal="101"/>
    <row newVal="455" oldVal="102"/>
    <row newVal="456" oldVal="103"/>
    <row newVal="457" oldVal="104"/>
    <row newVal="458" oldVal="105"/>
    <row newVal="459" oldVal="106"/>
    <row newVal="460" oldVal="107"/>
    <row newVal="461" oldVal="108"/>
    <row newVal="462" oldVal="109"/>
    <row newVal="463" oldVal="110"/>
    <row newVal="464" oldVal="111"/>
    <row newVal="465" oldVal="112"/>
    <row newVal="466" oldVal="125"/>
    <row newVal="467" oldVal="126"/>
    <row newVal="468" oldVal="127"/>
    <row newVal="469" oldVal="128"/>
    <row newVal="470" oldVal="129"/>
    <row newVal="471" oldVal="130"/>
    <row newVal="472" oldVal="131"/>
    <row newVal="473" oldVal="132"/>
    <row newVal="474" oldVal="133"/>
    <row newVal="475" oldVal="134"/>
    <row newVal="476" oldVal="135"/>
    <row newVal="477" oldVal="136"/>
    <row newVal="478" oldVal="137"/>
    <row newVal="479" oldVal="138"/>
    <row newVal="480" oldVal="139"/>
    <row newVal="481" oldVal="140"/>
    <row newVal="482" oldVal="141"/>
    <row newVal="483" oldVal="142"/>
    <row newVal="484" oldVal="143"/>
    <row newVal="485" oldVal="144"/>
    <row newVal="486" oldVal="145"/>
    <row newVal="487" oldVal="146"/>
    <row newVal="488" oldVal="147"/>
    <row newVal="489" oldVal="148"/>
    <row newVal="490" oldVal="149"/>
    <row newVal="491" oldVal="150"/>
    <row newVal="492" oldVal="151"/>
    <row newVal="493" oldVal="152"/>
    <row newVal="494" oldVal="153"/>
    <row newVal="495" oldVal="154"/>
    <row newVal="496" oldVal="155"/>
    <row newVal="497" oldVal="156"/>
    <row newVal="498" oldVal="157"/>
    <row newVal="499" oldVal="158"/>
    <row newVal="500" oldVal="159"/>
    <row newVal="501" oldVal="160"/>
    <row newVal="502" oldVal="161"/>
    <row newVal="503" oldVal="162"/>
    <row newVal="504" oldVal="163"/>
    <row newVal="505" oldVal="164"/>
    <row newVal="506" oldVal="165"/>
    <row newVal="507" oldVal="166"/>
    <row newVal="508" oldVal="167"/>
    <row newVal="509" oldVal="168"/>
    <row newVal="510" oldVal="169"/>
    <row newVal="511" oldVal="170"/>
    <row newVal="512" oldVal="171"/>
    <row newVal="513" oldVal="172"/>
    <row newVal="514" oldVal="173"/>
    <row newVal="515" oldVal="174"/>
    <row newVal="516" oldVal="175"/>
    <row newVal="517" oldVal="176"/>
    <row newVal="518" oldVal="177"/>
    <row newVal="519" oldVal="178"/>
    <row newVal="520" oldVal="179"/>
    <row newVal="521" oldVal="180"/>
    <row newVal="522" oldVal="181"/>
    <row newVal="523" oldVal="182"/>
    <row newVal="524" oldVal="183"/>
    <row newVal="525" oldVal="184"/>
    <row newVal="526" oldVal="185"/>
    <row newVal="527" oldVal="186"/>
    <row newVal="528" oldVal="187"/>
    <row newVal="529" oldVal="188"/>
    <row newVal="530" oldVal="189"/>
    <row newVal="531" oldVal="190"/>
    <row newVal="532" oldVal="191"/>
    <row newVal="533" oldVal="192"/>
    <row newVal="534" oldVal="193"/>
    <row newVal="535" oldVal="194"/>
    <row newVal="536" oldVal="195"/>
    <row newVal="537" oldVal="196"/>
    <row newVal="538" oldVal="197"/>
    <row newVal="539" oldVal="198"/>
    <row newVal="540" oldVal="199"/>
    <row newVal="541" oldVal="200"/>
    <row newVal="542" oldVal="201"/>
    <row newVal="543" oldVal="202"/>
    <row newVal="544" oldVal="203"/>
    <row newVal="545" oldVal="204"/>
    <row newVal="546" oldVal="205"/>
    <row newVal="547" oldVal="206"/>
    <row newVal="548" oldVal="207"/>
    <row newVal="549" oldVal="208"/>
    <row newVal="550" oldVal="209"/>
    <row newVal="551" oldVal="210"/>
    <row newVal="552" oldVal="211"/>
    <row newVal="553" oldVal="212"/>
    <row newVal="554" oldVal="213"/>
    <row newVal="555" oldVal="214"/>
    <row newVal="556" oldVal="215"/>
    <row newVal="557" oldVal="216"/>
    <row newVal="558" oldVal="217"/>
    <row newVal="559" oldVal="218"/>
    <row newVal="560" oldVal="219"/>
    <row newVal="561" oldVal="220"/>
    <row newVal="562" oldVal="221"/>
    <row newVal="563" oldVal="222"/>
    <row newVal="564" oldVal="223"/>
    <row newVal="565" oldVal="224"/>
    <row newVal="566" oldVal="225"/>
    <row newVal="567" oldVal="226"/>
    <row newVal="568" oldVal="113"/>
    <row newVal="569" oldVal="114"/>
    <row newVal="570" oldVal="115"/>
    <row newVal="571" oldVal="116"/>
    <row newVal="572" oldVal="117"/>
    <row newVal="573" oldVal="118"/>
    <row newVal="574" oldVal="119"/>
    <row newVal="575" oldVal="120"/>
    <row newVal="576" oldVal="121"/>
    <row newVal="577" oldVal="122"/>
    <row newVal="578" oldVal="123"/>
    <row newVal="579" oldVal="124"/>
    <row newVal="580" oldVal="227"/>
    <row newVal="581" oldVal="228"/>
    <row newVal="582" oldVal="229"/>
    <row newVal="583" oldVal="589"/>
    <row newVal="584" oldVal="557"/>
    <row newVal="585" oldVal="558"/>
    <row newVal="586" oldVal="559"/>
    <row newVal="587" oldVal="560"/>
    <row newVal="588" oldVal="561"/>
    <row newVal="589" oldVal="562"/>
    <row newVal="590" oldVal="563"/>
    <row newVal="591" oldVal="564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excel-заявки в 1 экз. + даты</vt:lpstr>
      <vt:lpstr>Лист1</vt:lpstr>
      <vt:lpstr>Трансп. каталог</vt:lpstr>
      <vt:lpstr>'Трансп. каталог'!Заголовки_для_печати</vt:lpstr>
      <vt:lpstr>'Трансп. каталог'!Область_печати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Дементьева Светлана Владимировна</dc:creator>
  <cp:lastModifiedBy>Набродова Евгения Владимировна</cp:lastModifiedBy>
  <cp:lastPrinted>2025-05-21T06:51:26Z</cp:lastPrinted>
  <dcterms:created xsi:type="dcterms:W3CDTF">2024-12-18T09:31:10Z</dcterms:created>
  <dcterms:modified xsi:type="dcterms:W3CDTF">2025-06-30T03:52:16Z</dcterms:modified>
</cp:coreProperties>
</file>